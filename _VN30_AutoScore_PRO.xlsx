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v\marketlens\"/>
    </mc:Choice>
  </mc:AlternateContent>
  <xr:revisionPtr revIDLastSave="0" documentId="13_ncr:1_{25287E7B-BD8A-475F-BD8F-F7636E1619B3}" xr6:coauthVersionLast="47" xr6:coauthVersionMax="47" xr10:uidLastSave="{00000000-0000-0000-0000-000000000000}"/>
  <bookViews>
    <workbookView xWindow="-98" yWindow="-98" windowWidth="21795" windowHeight="13695" activeTab="5" xr2:uid="{00000000-000D-0000-FFFF-FFFF00000000}"/>
  </bookViews>
  <sheets>
    <sheet name="Raw_VN30_Statistic" sheetId="1" r:id="rId1"/>
    <sheet name="Raw_VN30_Influence" sheetId="6" r:id="rId2"/>
    <sheet name="Dashboard" sheetId="3" r:id="rId3"/>
    <sheet name="Raw_OI" sheetId="7" r:id="rId4"/>
    <sheet name="History_Log" sheetId="5" r:id="rId5"/>
    <sheet name="AutoScore" sheetId="2" r:id="rId6"/>
    <sheet name="Settings" sheetId="4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" i="2"/>
  <c r="A2" i="7"/>
  <c r="M2" i="7" s="1" a="1"/>
  <c r="M2" i="7" s="1"/>
  <c r="L2" i="7" a="1"/>
  <c r="L2" i="7" s="1"/>
  <c r="X20" i="5"/>
  <c r="Z20" i="5" s="1"/>
  <c r="Y20" i="5"/>
  <c r="X21" i="5"/>
  <c r="Z21" i="5" s="1"/>
  <c r="Y21" i="5"/>
  <c r="X17" i="5"/>
  <c r="Z17" i="5" s="1"/>
  <c r="Y17" i="5"/>
  <c r="A3" i="7"/>
  <c r="M3" i="7" s="1" a="1"/>
  <c r="M3" i="7" s="1"/>
  <c r="B13" i="5"/>
  <c r="A13" i="5"/>
  <c r="X16" i="5"/>
  <c r="Z16" i="5" s="1"/>
  <c r="Y16" i="5"/>
  <c r="X18" i="5"/>
  <c r="Z18" i="5" s="1"/>
  <c r="Y18" i="5"/>
  <c r="X19" i="5"/>
  <c r="Z19" i="5" s="1"/>
  <c r="Y19" i="5"/>
  <c r="X22" i="5"/>
  <c r="Y22" i="5"/>
  <c r="Z22" i="5"/>
  <c r="X23" i="5"/>
  <c r="Y23" i="5"/>
  <c r="Z23" i="5"/>
  <c r="X24" i="5"/>
  <c r="Y24" i="5"/>
  <c r="Z24" i="5"/>
  <c r="X25" i="5"/>
  <c r="Y25" i="5"/>
  <c r="Z25" i="5"/>
  <c r="X26" i="5"/>
  <c r="Y26" i="5"/>
  <c r="Z26" i="5"/>
  <c r="X27" i="5"/>
  <c r="Y27" i="5"/>
  <c r="Z27" i="5"/>
  <c r="X28" i="5"/>
  <c r="Y28" i="5"/>
  <c r="Z28" i="5"/>
  <c r="X29" i="5"/>
  <c r="Y29" i="5"/>
  <c r="Z29" i="5"/>
  <c r="X30" i="5"/>
  <c r="Y30" i="5"/>
  <c r="Z30" i="5"/>
  <c r="X31" i="5"/>
  <c r="Y31" i="5"/>
  <c r="Z31" i="5"/>
  <c r="X32" i="5"/>
  <c r="Y32" i="5"/>
  <c r="Z32" i="5"/>
  <c r="X33" i="5"/>
  <c r="Y33" i="5"/>
  <c r="Z33" i="5"/>
  <c r="X34" i="5"/>
  <c r="Y34" i="5"/>
  <c r="Z34" i="5"/>
  <c r="X35" i="5"/>
  <c r="Y35" i="5"/>
  <c r="Z35" i="5"/>
  <c r="X36" i="5"/>
  <c r="Y36" i="5"/>
  <c r="Z36" i="5"/>
  <c r="X37" i="5"/>
  <c r="Y37" i="5"/>
  <c r="Z37" i="5"/>
  <c r="X38" i="5"/>
  <c r="Y38" i="5"/>
  <c r="Z38" i="5"/>
  <c r="X39" i="5"/>
  <c r="Y39" i="5"/>
  <c r="Z39" i="5"/>
  <c r="X40" i="5"/>
  <c r="Y40" i="5"/>
  <c r="Z40" i="5"/>
  <c r="X41" i="5"/>
  <c r="Y41" i="5"/>
  <c r="Z41" i="5"/>
  <c r="X42" i="5"/>
  <c r="Y42" i="5"/>
  <c r="Z42" i="5"/>
  <c r="X43" i="5"/>
  <c r="Y43" i="5"/>
  <c r="Z43" i="5"/>
  <c r="X44" i="5"/>
  <c r="Y44" i="5"/>
  <c r="Z44" i="5"/>
  <c r="X45" i="5"/>
  <c r="Y45" i="5"/>
  <c r="Z45" i="5"/>
  <c r="X46" i="5"/>
  <c r="Y46" i="5"/>
  <c r="Z46" i="5"/>
  <c r="X47" i="5"/>
  <c r="Y47" i="5"/>
  <c r="Z47" i="5"/>
  <c r="X48" i="5"/>
  <c r="Y48" i="5"/>
  <c r="Z48" i="5"/>
  <c r="X49" i="5"/>
  <c r="Y49" i="5"/>
  <c r="Z49" i="5"/>
  <c r="X50" i="5"/>
  <c r="Y50" i="5"/>
  <c r="Z50" i="5"/>
  <c r="X51" i="5"/>
  <c r="Y51" i="5"/>
  <c r="Z51" i="5"/>
  <c r="X52" i="5"/>
  <c r="Y52" i="5"/>
  <c r="Z52" i="5"/>
  <c r="X53" i="5"/>
  <c r="Y53" i="5"/>
  <c r="Z53" i="5"/>
  <c r="X54" i="5"/>
  <c r="Y54" i="5"/>
  <c r="Z54" i="5"/>
  <c r="X55" i="5"/>
  <c r="Y55" i="5"/>
  <c r="Z55" i="5"/>
  <c r="X56" i="5"/>
  <c r="Y56" i="5"/>
  <c r="Z56" i="5"/>
  <c r="X57" i="5"/>
  <c r="Y57" i="5"/>
  <c r="Z57" i="5"/>
  <c r="X58" i="5"/>
  <c r="Y58" i="5"/>
  <c r="Z58" i="5"/>
  <c r="X59" i="5"/>
  <c r="Y59" i="5"/>
  <c r="Z59" i="5"/>
  <c r="X60" i="5"/>
  <c r="Y60" i="5"/>
  <c r="Z60" i="5"/>
  <c r="X61" i="5"/>
  <c r="Y61" i="5"/>
  <c r="Z61" i="5"/>
  <c r="X62" i="5"/>
  <c r="Y62" i="5"/>
  <c r="Z62" i="5"/>
  <c r="X63" i="5"/>
  <c r="Y63" i="5"/>
  <c r="Z63" i="5"/>
  <c r="X64" i="5"/>
  <c r="Y64" i="5"/>
  <c r="Z64" i="5"/>
  <c r="X65" i="5"/>
  <c r="Y65" i="5"/>
  <c r="Z65" i="5"/>
  <c r="X66" i="5"/>
  <c r="Y66" i="5"/>
  <c r="Z66" i="5"/>
  <c r="X67" i="5"/>
  <c r="Y67" i="5"/>
  <c r="Z67" i="5"/>
  <c r="X68" i="5"/>
  <c r="Y68" i="5"/>
  <c r="Z68" i="5"/>
  <c r="X69" i="5"/>
  <c r="Y69" i="5"/>
  <c r="Z69" i="5"/>
  <c r="X70" i="5"/>
  <c r="Y70" i="5"/>
  <c r="Z70" i="5"/>
  <c r="X71" i="5"/>
  <c r="Y71" i="5"/>
  <c r="Z71" i="5"/>
  <c r="X72" i="5"/>
  <c r="Y72" i="5"/>
  <c r="Z72" i="5"/>
  <c r="X73" i="5"/>
  <c r="Y73" i="5"/>
  <c r="Z73" i="5"/>
  <c r="X74" i="5"/>
  <c r="Y74" i="5"/>
  <c r="Z74" i="5"/>
  <c r="X75" i="5"/>
  <c r="Y75" i="5"/>
  <c r="Z75" i="5"/>
  <c r="X76" i="5"/>
  <c r="Y76" i="5"/>
  <c r="Z76" i="5"/>
  <c r="X77" i="5"/>
  <c r="Y77" i="5"/>
  <c r="Z77" i="5"/>
  <c r="X78" i="5"/>
  <c r="Y78" i="5"/>
  <c r="Z78" i="5"/>
  <c r="X79" i="5"/>
  <c r="Y79" i="5"/>
  <c r="Z79" i="5"/>
  <c r="X80" i="5"/>
  <c r="Y80" i="5"/>
  <c r="Z80" i="5"/>
  <c r="X81" i="5"/>
  <c r="Y81" i="5"/>
  <c r="Z81" i="5"/>
  <c r="X82" i="5"/>
  <c r="Y82" i="5"/>
  <c r="Z82" i="5"/>
  <c r="X83" i="5"/>
  <c r="Y83" i="5"/>
  <c r="Z83" i="5"/>
  <c r="X84" i="5"/>
  <c r="Y84" i="5"/>
  <c r="Z84" i="5"/>
  <c r="X85" i="5"/>
  <c r="Y85" i="5"/>
  <c r="Z85" i="5"/>
  <c r="X86" i="5"/>
  <c r="Y86" i="5"/>
  <c r="Z86" i="5"/>
  <c r="X87" i="5"/>
  <c r="Y87" i="5"/>
  <c r="Z87" i="5"/>
  <c r="X88" i="5"/>
  <c r="Y88" i="5"/>
  <c r="Z88" i="5"/>
  <c r="X89" i="5"/>
  <c r="Y89" i="5"/>
  <c r="Z89" i="5"/>
  <c r="X90" i="5"/>
  <c r="Y90" i="5"/>
  <c r="Z90" i="5"/>
  <c r="X91" i="5"/>
  <c r="Y91" i="5"/>
  <c r="Z91" i="5"/>
  <c r="X92" i="5"/>
  <c r="Y92" i="5"/>
  <c r="Z92" i="5"/>
  <c r="X93" i="5"/>
  <c r="Y93" i="5"/>
  <c r="Z93" i="5"/>
  <c r="X94" i="5"/>
  <c r="Y94" i="5"/>
  <c r="Z94" i="5"/>
  <c r="Y13" i="5"/>
  <c r="X13" i="5"/>
  <c r="Z13" i="5" s="1"/>
  <c r="X14" i="5"/>
  <c r="Z14" i="5" s="1"/>
  <c r="Y14" i="5"/>
  <c r="C11" i="5"/>
  <c r="Y15" i="5"/>
  <c r="X15" i="5"/>
  <c r="Z15" i="5" s="1"/>
  <c r="A4" i="7"/>
  <c r="L4" i="7" s="1" a="1"/>
  <c r="L4" i="7" s="1"/>
  <c r="A5" i="7"/>
  <c r="L5" i="7" s="1" a="1"/>
  <c r="L5" i="7" s="1"/>
  <c r="A8" i="7"/>
  <c r="M8" i="7" s="1" a="1"/>
  <c r="M8" i="7" s="1"/>
  <c r="A6" i="7"/>
  <c r="L6" i="7" s="1" a="1"/>
  <c r="L6" i="7" s="1"/>
  <c r="A7" i="7"/>
  <c r="L7" i="7" s="1" a="1"/>
  <c r="L7" i="7" s="1"/>
  <c r="A9" i="7"/>
  <c r="L9" i="7" s="1" a="1"/>
  <c r="L9" i="7" s="1"/>
  <c r="A10" i="7"/>
  <c r="L10" i="7" s="1" a="1"/>
  <c r="L10" i="7" s="1"/>
  <c r="A11" i="7"/>
  <c r="M11" i="7" s="1" a="1"/>
  <c r="M11" i="7" s="1"/>
  <c r="A12" i="7"/>
  <c r="M12" i="7" s="1" a="1"/>
  <c r="M12" i="7" s="1"/>
  <c r="A13" i="7"/>
  <c r="M13" i="7" s="1" a="1"/>
  <c r="M13" i="7" s="1"/>
  <c r="A14" i="7"/>
  <c r="M14" i="7" s="1" a="1"/>
  <c r="M14" i="7" s="1"/>
  <c r="A15" i="7"/>
  <c r="M15" i="7" s="1" a="1"/>
  <c r="M15" i="7" s="1"/>
  <c r="M16" i="7"/>
  <c r="L16" i="7"/>
  <c r="C10" i="5"/>
  <c r="E10" i="5" s="1"/>
  <c r="N2" i="7" l="1"/>
  <c r="O2" i="7" s="1"/>
  <c r="P2" i="7" s="1"/>
  <c r="L3" i="7" a="1"/>
  <c r="L3" i="7" s="1"/>
  <c r="N3" i="7" s="1"/>
  <c r="O3" i="7" s="1"/>
  <c r="M4" i="7" a="1"/>
  <c r="M4" i="7" s="1"/>
  <c r="N4" i="7" s="1"/>
  <c r="O4" i="7" s="1"/>
  <c r="P4" i="7" s="1"/>
  <c r="E11" i="5"/>
  <c r="F10" i="5"/>
  <c r="D10" i="5"/>
  <c r="F11" i="5"/>
  <c r="M5" i="7" a="1"/>
  <c r="M5" i="7" s="1"/>
  <c r="L12" i="7" a="1"/>
  <c r="L12" i="7" s="1"/>
  <c r="N12" i="7" s="1"/>
  <c r="O12" i="7" s="1"/>
  <c r="L11" i="7" a="1"/>
  <c r="L11" i="7" s="1"/>
  <c r="N11" i="7" s="1"/>
  <c r="O11" i="7" s="1"/>
  <c r="M10" i="7" a="1"/>
  <c r="M10" i="7" s="1"/>
  <c r="N10" i="7" s="1"/>
  <c r="O10" i="7" s="1"/>
  <c r="M9" i="7" a="1"/>
  <c r="M9" i="7" s="1"/>
  <c r="N9" i="7" s="1"/>
  <c r="O9" i="7" s="1"/>
  <c r="M7" i="7" a="1"/>
  <c r="M7" i="7" s="1"/>
  <c r="N7" i="7" s="1"/>
  <c r="O7" i="7" s="1"/>
  <c r="M6" i="7" a="1"/>
  <c r="M6" i="7" s="1"/>
  <c r="N6" i="7" s="1"/>
  <c r="O6" i="7" s="1"/>
  <c r="L8" i="7" a="1"/>
  <c r="L8" i="7" s="1"/>
  <c r="N8" i="7" s="1"/>
  <c r="O8" i="7" s="1"/>
  <c r="L15" i="7" a="1"/>
  <c r="L15" i="7" s="1"/>
  <c r="N15" i="7" s="1"/>
  <c r="O15" i="7" s="1"/>
  <c r="P15" i="7" s="1"/>
  <c r="L14" i="7" a="1"/>
  <c r="L14" i="7" s="1"/>
  <c r="N14" i="7" s="1"/>
  <c r="O14" i="7" s="1"/>
  <c r="L13" i="7" a="1"/>
  <c r="L13" i="7" s="1"/>
  <c r="N13" i="7" s="1"/>
  <c r="O13" i="7" s="1"/>
  <c r="N16" i="7"/>
  <c r="O16" i="7" s="1"/>
  <c r="D11" i="5"/>
  <c r="P3" i="7" l="1"/>
  <c r="N5" i="7"/>
  <c r="O5" i="7" s="1"/>
  <c r="P16" i="7"/>
  <c r="I31" i="2"/>
  <c r="H31" i="2"/>
  <c r="E31" i="2"/>
  <c r="D31" i="2"/>
  <c r="C31" i="2"/>
  <c r="F31" i="2" s="1"/>
  <c r="B31" i="2"/>
  <c r="G31" i="2" s="1"/>
  <c r="A31" i="2"/>
  <c r="I30" i="2"/>
  <c r="H30" i="2"/>
  <c r="E30" i="2"/>
  <c r="D30" i="2"/>
  <c r="C30" i="2"/>
  <c r="F30" i="2" s="1"/>
  <c r="B30" i="2"/>
  <c r="G30" i="2" s="1"/>
  <c r="A30" i="2"/>
  <c r="I29" i="2"/>
  <c r="H29" i="2"/>
  <c r="E29" i="2"/>
  <c r="D29" i="2"/>
  <c r="C29" i="2"/>
  <c r="B29" i="2"/>
  <c r="A29" i="2"/>
  <c r="I28" i="2"/>
  <c r="H28" i="2"/>
  <c r="E28" i="2"/>
  <c r="D28" i="2"/>
  <c r="C28" i="2"/>
  <c r="B28" i="2"/>
  <c r="A28" i="2"/>
  <c r="I27" i="2"/>
  <c r="H27" i="2"/>
  <c r="E27" i="2"/>
  <c r="D27" i="2"/>
  <c r="C27" i="2"/>
  <c r="B27" i="2"/>
  <c r="A27" i="2"/>
  <c r="I26" i="2"/>
  <c r="H26" i="2"/>
  <c r="E26" i="2"/>
  <c r="D26" i="2"/>
  <c r="C26" i="2"/>
  <c r="F26" i="2" s="1"/>
  <c r="B26" i="2"/>
  <c r="G26" i="2" s="1"/>
  <c r="A26" i="2"/>
  <c r="I25" i="2"/>
  <c r="H25" i="2"/>
  <c r="E25" i="2"/>
  <c r="D25" i="2"/>
  <c r="C25" i="2"/>
  <c r="B25" i="2"/>
  <c r="A25" i="2"/>
  <c r="I24" i="2"/>
  <c r="H24" i="2"/>
  <c r="E24" i="2"/>
  <c r="D24" i="2"/>
  <c r="C24" i="2"/>
  <c r="F24" i="2" s="1"/>
  <c r="B24" i="2"/>
  <c r="G24" i="2" s="1"/>
  <c r="A24" i="2"/>
  <c r="I23" i="2"/>
  <c r="H23" i="2"/>
  <c r="E23" i="2"/>
  <c r="D23" i="2"/>
  <c r="C23" i="2"/>
  <c r="B23" i="2"/>
  <c r="A23" i="2"/>
  <c r="I22" i="2"/>
  <c r="H22" i="2"/>
  <c r="E22" i="2"/>
  <c r="D22" i="2"/>
  <c r="C22" i="2"/>
  <c r="B22" i="2"/>
  <c r="A22" i="2"/>
  <c r="I21" i="2"/>
  <c r="H21" i="2"/>
  <c r="E21" i="2"/>
  <c r="D21" i="2"/>
  <c r="C21" i="2"/>
  <c r="B21" i="2"/>
  <c r="F21" i="2" s="1"/>
  <c r="A21" i="2"/>
  <c r="I20" i="2"/>
  <c r="H20" i="2"/>
  <c r="E20" i="2"/>
  <c r="D20" i="2"/>
  <c r="C20" i="2"/>
  <c r="F20" i="2" s="1"/>
  <c r="B20" i="2"/>
  <c r="A20" i="2"/>
  <c r="I19" i="2"/>
  <c r="H19" i="2"/>
  <c r="E19" i="2"/>
  <c r="D19" i="2"/>
  <c r="C19" i="2"/>
  <c r="B19" i="2"/>
  <c r="A19" i="2"/>
  <c r="I18" i="2"/>
  <c r="H18" i="2"/>
  <c r="E18" i="2"/>
  <c r="D18" i="2"/>
  <c r="C18" i="2"/>
  <c r="B18" i="2"/>
  <c r="A18" i="2"/>
  <c r="I17" i="2"/>
  <c r="H17" i="2"/>
  <c r="E17" i="2"/>
  <c r="D17" i="2"/>
  <c r="C17" i="2"/>
  <c r="B17" i="2"/>
  <c r="A17" i="2"/>
  <c r="I16" i="2"/>
  <c r="H16" i="2"/>
  <c r="E16" i="2"/>
  <c r="D16" i="2"/>
  <c r="C16" i="2"/>
  <c r="B16" i="2"/>
  <c r="A16" i="2"/>
  <c r="I15" i="2"/>
  <c r="H15" i="2"/>
  <c r="E15" i="2"/>
  <c r="D15" i="2"/>
  <c r="C15" i="2"/>
  <c r="B15" i="2"/>
  <c r="A15" i="2"/>
  <c r="I14" i="2"/>
  <c r="H14" i="2"/>
  <c r="E14" i="2"/>
  <c r="D14" i="2"/>
  <c r="C14" i="2"/>
  <c r="B14" i="2"/>
  <c r="A14" i="2"/>
  <c r="I13" i="2"/>
  <c r="H13" i="2"/>
  <c r="E13" i="2"/>
  <c r="D13" i="2"/>
  <c r="C13" i="2"/>
  <c r="B13" i="2"/>
  <c r="A13" i="2"/>
  <c r="I12" i="2"/>
  <c r="H12" i="2"/>
  <c r="E12" i="2"/>
  <c r="D12" i="2"/>
  <c r="C12" i="2"/>
  <c r="B12" i="2"/>
  <c r="A12" i="2"/>
  <c r="I11" i="2"/>
  <c r="H11" i="2"/>
  <c r="E11" i="2"/>
  <c r="D11" i="2"/>
  <c r="C11" i="2"/>
  <c r="B11" i="2"/>
  <c r="A11" i="2"/>
  <c r="I10" i="2"/>
  <c r="H10" i="2"/>
  <c r="E10" i="2"/>
  <c r="D10" i="2"/>
  <c r="C10" i="2"/>
  <c r="B10" i="2"/>
  <c r="A10" i="2"/>
  <c r="I9" i="2"/>
  <c r="H9" i="2"/>
  <c r="E9" i="2"/>
  <c r="D9" i="2"/>
  <c r="C9" i="2"/>
  <c r="B9" i="2"/>
  <c r="A9" i="2"/>
  <c r="I8" i="2"/>
  <c r="H8" i="2"/>
  <c r="G8" i="2"/>
  <c r="F8" i="2"/>
  <c r="E8" i="2"/>
  <c r="D8" i="2"/>
  <c r="C8" i="2"/>
  <c r="B8" i="2"/>
  <c r="A8" i="2"/>
  <c r="I7" i="2"/>
  <c r="H7" i="2"/>
  <c r="E7" i="2"/>
  <c r="D7" i="2"/>
  <c r="C7" i="2"/>
  <c r="F7" i="2" s="1"/>
  <c r="B7" i="2"/>
  <c r="G7" i="2" s="1"/>
  <c r="A7" i="2"/>
  <c r="I6" i="2"/>
  <c r="H6" i="2"/>
  <c r="E6" i="2"/>
  <c r="D6" i="2"/>
  <c r="C6" i="2"/>
  <c r="B6" i="2"/>
  <c r="A6" i="2"/>
  <c r="I5" i="2"/>
  <c r="H5" i="2"/>
  <c r="E5" i="2"/>
  <c r="D5" i="2"/>
  <c r="C5" i="2"/>
  <c r="B5" i="2"/>
  <c r="A5" i="2"/>
  <c r="I4" i="2"/>
  <c r="H4" i="2"/>
  <c r="E4" i="2"/>
  <c r="D4" i="2"/>
  <c r="C4" i="2"/>
  <c r="B4" i="2"/>
  <c r="A4" i="2"/>
  <c r="I3" i="2"/>
  <c r="H3" i="2"/>
  <c r="E3" i="2"/>
  <c r="D3" i="2"/>
  <c r="C3" i="2"/>
  <c r="B3" i="2"/>
  <c r="A3" i="2"/>
  <c r="I2" i="2"/>
  <c r="H2" i="2"/>
  <c r="E2" i="2"/>
  <c r="D2" i="2"/>
  <c r="C2" i="2"/>
  <c r="B2" i="2"/>
  <c r="A2" i="2"/>
  <c r="F6" i="2" l="1"/>
  <c r="G6" i="2" s="1"/>
  <c r="F3" i="2"/>
  <c r="F19" i="2"/>
  <c r="F12" i="2"/>
  <c r="X5" i="2"/>
  <c r="W5" i="2"/>
  <c r="V5" i="2"/>
  <c r="X14" i="2"/>
  <c r="W14" i="2"/>
  <c r="V14" i="2"/>
  <c r="X30" i="2"/>
  <c r="W30" i="2"/>
  <c r="V30" i="2"/>
  <c r="T30" i="2"/>
  <c r="X19" i="2"/>
  <c r="W19" i="2"/>
  <c r="V19" i="2"/>
  <c r="X26" i="2"/>
  <c r="W26" i="2"/>
  <c r="V26" i="2"/>
  <c r="T26" i="2"/>
  <c r="X28" i="2"/>
  <c r="W28" i="2"/>
  <c r="V28" i="2"/>
  <c r="X17" i="2"/>
  <c r="V17" i="2"/>
  <c r="W17" i="2"/>
  <c r="G3" i="2"/>
  <c r="R3" i="2" s="1"/>
  <c r="K8" i="2"/>
  <c r="X8" i="2"/>
  <c r="W8" i="2"/>
  <c r="V8" i="2"/>
  <c r="X15" i="2"/>
  <c r="W15" i="2"/>
  <c r="V15" i="2"/>
  <c r="X31" i="2"/>
  <c r="W31" i="2"/>
  <c r="V31" i="2"/>
  <c r="T31" i="2"/>
  <c r="X13" i="2"/>
  <c r="W13" i="2"/>
  <c r="V13" i="2"/>
  <c r="X29" i="2"/>
  <c r="W29" i="2"/>
  <c r="V29" i="2"/>
  <c r="X3" i="2"/>
  <c r="W3" i="2"/>
  <c r="V3" i="2"/>
  <c r="X12" i="2"/>
  <c r="W12" i="2"/>
  <c r="V12" i="2"/>
  <c r="X10" i="2"/>
  <c r="W10" i="2"/>
  <c r="V10" i="2"/>
  <c r="W6" i="2"/>
  <c r="V6" i="2"/>
  <c r="X6" i="2"/>
  <c r="T24" i="2"/>
  <c r="X24" i="2"/>
  <c r="W24" i="2"/>
  <c r="V24" i="2"/>
  <c r="X4" i="2"/>
  <c r="W4" i="2"/>
  <c r="V4" i="2"/>
  <c r="W22" i="2"/>
  <c r="V22" i="2"/>
  <c r="X22" i="2"/>
  <c r="V2" i="2"/>
  <c r="X2" i="2"/>
  <c r="W2" i="2"/>
  <c r="X21" i="2"/>
  <c r="W21" i="2"/>
  <c r="V21" i="2"/>
  <c r="X20" i="2"/>
  <c r="W20" i="2"/>
  <c r="V20" i="2"/>
  <c r="V11" i="2"/>
  <c r="X11" i="2"/>
  <c r="W11" i="2"/>
  <c r="V27" i="2"/>
  <c r="X27" i="2"/>
  <c r="W27" i="2"/>
  <c r="V18" i="2"/>
  <c r="X18" i="2"/>
  <c r="W18" i="2"/>
  <c r="W7" i="2"/>
  <c r="T7" i="2"/>
  <c r="V7" i="2"/>
  <c r="X7" i="2"/>
  <c r="X9" i="2"/>
  <c r="W9" i="2"/>
  <c r="V9" i="2"/>
  <c r="X25" i="2"/>
  <c r="W25" i="2"/>
  <c r="V25" i="2"/>
  <c r="W16" i="2"/>
  <c r="V16" i="2"/>
  <c r="X16" i="2"/>
  <c r="W23" i="2"/>
  <c r="V23" i="2"/>
  <c r="X23" i="2"/>
  <c r="P13" i="7"/>
  <c r="P5" i="7"/>
  <c r="P14" i="7"/>
  <c r="P12" i="7"/>
  <c r="P6" i="7"/>
  <c r="P7" i="7"/>
  <c r="P11" i="7"/>
  <c r="P10" i="7"/>
  <c r="P9" i="7"/>
  <c r="P8" i="7"/>
  <c r="G19" i="2"/>
  <c r="S19" i="2" s="1"/>
  <c r="G12" i="2"/>
  <c r="P12" i="2" s="1"/>
  <c r="F28" i="2"/>
  <c r="G28" i="2" s="1"/>
  <c r="R28" i="2" s="1"/>
  <c r="F16" i="2"/>
  <c r="G16" i="2" s="1"/>
  <c r="P16" i="2" s="1"/>
  <c r="F22" i="2"/>
  <c r="G22" i="2" s="1"/>
  <c r="K23" i="2"/>
  <c r="K12" i="2"/>
  <c r="K19" i="2"/>
  <c r="F14" i="2"/>
  <c r="G14" i="2" s="1"/>
  <c r="F18" i="2"/>
  <c r="G18" i="2" s="1"/>
  <c r="F4" i="2"/>
  <c r="G4" i="2" s="1"/>
  <c r="F23" i="2"/>
  <c r="G23" i="2" s="1"/>
  <c r="F2" i="2"/>
  <c r="G2" i="2" s="1"/>
  <c r="S2" i="2" s="1"/>
  <c r="F11" i="2"/>
  <c r="G11" i="2" s="1"/>
  <c r="K28" i="2"/>
  <c r="F17" i="2"/>
  <c r="G17" i="2" s="1"/>
  <c r="F10" i="2"/>
  <c r="G10" i="2" s="1"/>
  <c r="M11" i="2"/>
  <c r="M22" i="2"/>
  <c r="F27" i="2"/>
  <c r="G27" i="2" s="1"/>
  <c r="M23" i="2"/>
  <c r="M30" i="2"/>
  <c r="F15" i="2"/>
  <c r="G15" i="2" s="1"/>
  <c r="M20" i="2"/>
  <c r="N20" i="2" s="1"/>
  <c r="M2" i="2"/>
  <c r="M15" i="2"/>
  <c r="N15" i="2" s="1"/>
  <c r="K27" i="2"/>
  <c r="M10" i="2"/>
  <c r="M25" i="2"/>
  <c r="O25" i="2" s="1"/>
  <c r="M31" i="2"/>
  <c r="O31" i="2" s="1"/>
  <c r="M7" i="2"/>
  <c r="M14" i="2"/>
  <c r="O14" i="2" s="1"/>
  <c r="M6" i="2"/>
  <c r="N6" i="2" s="1"/>
  <c r="M21" i="2"/>
  <c r="M26" i="2"/>
  <c r="U26" i="2" s="1"/>
  <c r="M18" i="2"/>
  <c r="M27" i="2"/>
  <c r="O27" i="2" s="1"/>
  <c r="M19" i="2"/>
  <c r="N19" i="2" s="1"/>
  <c r="M3" i="2"/>
  <c r="G20" i="2"/>
  <c r="K11" i="2"/>
  <c r="M8" i="2"/>
  <c r="N8" i="2" s="1"/>
  <c r="M13" i="2"/>
  <c r="N13" i="2" s="1"/>
  <c r="K16" i="2"/>
  <c r="K4" i="2"/>
  <c r="K15" i="2"/>
  <c r="M24" i="2"/>
  <c r="O24" i="2" s="1"/>
  <c r="M29" i="2"/>
  <c r="O29" i="2" s="1"/>
  <c r="K3" i="2"/>
  <c r="M12" i="2"/>
  <c r="N12" i="2" s="1"/>
  <c r="M17" i="2"/>
  <c r="N17" i="2" s="1"/>
  <c r="K20" i="2"/>
  <c r="M5" i="2"/>
  <c r="O5" i="2" s="1"/>
  <c r="K31" i="2"/>
  <c r="M28" i="2"/>
  <c r="N28" i="2" s="1"/>
  <c r="K7" i="2"/>
  <c r="K24" i="2"/>
  <c r="M16" i="2"/>
  <c r="N16" i="2" s="1"/>
  <c r="M4" i="2"/>
  <c r="N4" i="2" s="1"/>
  <c r="M9" i="2"/>
  <c r="O9" i="2" s="1"/>
  <c r="P31" i="2"/>
  <c r="Q31" i="2"/>
  <c r="S31" i="2"/>
  <c r="R31" i="2"/>
  <c r="Q7" i="2"/>
  <c r="P7" i="2"/>
  <c r="S7" i="2"/>
  <c r="R7" i="2"/>
  <c r="S26" i="2"/>
  <c r="R26" i="2"/>
  <c r="Q26" i="2"/>
  <c r="P26" i="2"/>
  <c r="S30" i="2"/>
  <c r="R30" i="2"/>
  <c r="Q30" i="2"/>
  <c r="P30" i="2"/>
  <c r="G21" i="2"/>
  <c r="K5" i="2"/>
  <c r="K9" i="2"/>
  <c r="K13" i="2"/>
  <c r="K17" i="2"/>
  <c r="K21" i="2"/>
  <c r="K25" i="2"/>
  <c r="K29" i="2"/>
  <c r="F13" i="2"/>
  <c r="G13" i="2" s="1"/>
  <c r="R13" i="2" s="1"/>
  <c r="Q8" i="2"/>
  <c r="Q24" i="2"/>
  <c r="R8" i="2"/>
  <c r="R24" i="2"/>
  <c r="F5" i="2"/>
  <c r="G5" i="2" s="1"/>
  <c r="F9" i="2"/>
  <c r="G9" i="2" s="1"/>
  <c r="F25" i="2"/>
  <c r="G25" i="2" s="1"/>
  <c r="F29" i="2"/>
  <c r="G29" i="2" s="1"/>
  <c r="P8" i="2"/>
  <c r="K2" i="2"/>
  <c r="K6" i="2"/>
  <c r="S8" i="2"/>
  <c r="K10" i="2"/>
  <c r="K14" i="2"/>
  <c r="K18" i="2"/>
  <c r="K22" i="2"/>
  <c r="S24" i="2"/>
  <c r="K26" i="2"/>
  <c r="K30" i="2"/>
  <c r="P24" i="2"/>
  <c r="S6" i="2" l="1"/>
  <c r="Q6" i="2"/>
  <c r="R6" i="2"/>
  <c r="P6" i="2"/>
  <c r="T6" i="2"/>
  <c r="P19" i="2"/>
  <c r="R19" i="2"/>
  <c r="Q19" i="2"/>
  <c r="P3" i="2"/>
  <c r="T20" i="2"/>
  <c r="S16" i="2"/>
  <c r="S3" i="2"/>
  <c r="T3" i="2"/>
  <c r="Q3" i="2"/>
  <c r="H15" i="3"/>
  <c r="U2" i="2"/>
  <c r="U3" i="2"/>
  <c r="U21" i="2"/>
  <c r="U18" i="2"/>
  <c r="U30" i="2"/>
  <c r="U22" i="2"/>
  <c r="U11" i="2"/>
  <c r="H12" i="3" a="1"/>
  <c r="H12" i="3" s="1"/>
  <c r="T16" i="2"/>
  <c r="H14" i="3" a="1"/>
  <c r="H14" i="3" s="1"/>
  <c r="Q28" i="2"/>
  <c r="U7" i="2"/>
  <c r="E23" i="3" a="1"/>
  <c r="E23" i="3" s="1"/>
  <c r="H11" i="3" s="1"/>
  <c r="H16" i="3" a="1"/>
  <c r="H16" i="3" s="1"/>
  <c r="S28" i="2"/>
  <c r="T27" i="2"/>
  <c r="R16" i="2"/>
  <c r="U10" i="2"/>
  <c r="C21" i="7"/>
  <c r="T28" i="2"/>
  <c r="P28" i="2"/>
  <c r="Q12" i="2"/>
  <c r="R12" i="2"/>
  <c r="S12" i="2"/>
  <c r="L26" i="2"/>
  <c r="U23" i="2"/>
  <c r="L10" i="2"/>
  <c r="Q16" i="2"/>
  <c r="L4" i="2"/>
  <c r="T19" i="2"/>
  <c r="S22" i="2"/>
  <c r="Q22" i="2"/>
  <c r="T22" i="2"/>
  <c r="R22" i="2"/>
  <c r="P22" i="2"/>
  <c r="L23" i="2"/>
  <c r="L19" i="2"/>
  <c r="L14" i="2"/>
  <c r="L15" i="2"/>
  <c r="L6" i="2"/>
  <c r="L3" i="2"/>
  <c r="L8" i="2"/>
  <c r="L7" i="2"/>
  <c r="L25" i="2"/>
  <c r="L29" i="2"/>
  <c r="L12" i="2"/>
  <c r="L22" i="2"/>
  <c r="L11" i="2"/>
  <c r="L31" i="2"/>
  <c r="L16" i="2"/>
  <c r="L18" i="2"/>
  <c r="T8" i="2"/>
  <c r="L28" i="2"/>
  <c r="L27" i="2"/>
  <c r="P2" i="2"/>
  <c r="B25" i="3"/>
  <c r="B24" i="3"/>
  <c r="L2" i="2"/>
  <c r="L5" i="2"/>
  <c r="L9" i="2"/>
  <c r="T2" i="2"/>
  <c r="L24" i="2"/>
  <c r="L21" i="2"/>
  <c r="L17" i="2"/>
  <c r="L30" i="2"/>
  <c r="L20" i="2"/>
  <c r="T12" i="2"/>
  <c r="L13" i="2"/>
  <c r="O13" i="2"/>
  <c r="R29" i="2"/>
  <c r="T29" i="2"/>
  <c r="P29" i="2"/>
  <c r="S29" i="2"/>
  <c r="Q29" i="2"/>
  <c r="R14" i="2"/>
  <c r="Q14" i="2"/>
  <c r="P14" i="2"/>
  <c r="T14" i="2"/>
  <c r="S14" i="2"/>
  <c r="T18" i="2"/>
  <c r="Q18" i="2"/>
  <c r="P18" i="2"/>
  <c r="S18" i="2"/>
  <c r="R18" i="2"/>
  <c r="T4" i="2"/>
  <c r="S4" i="2"/>
  <c r="R4" i="2"/>
  <c r="Q4" i="2"/>
  <c r="P4" i="2"/>
  <c r="P9" i="2"/>
  <c r="Q9" i="2"/>
  <c r="S9" i="2"/>
  <c r="T9" i="2"/>
  <c r="R9" i="2"/>
  <c r="S23" i="2"/>
  <c r="R23" i="2"/>
  <c r="P23" i="2"/>
  <c r="T23" i="2"/>
  <c r="Q23" i="2"/>
  <c r="Q2" i="2"/>
  <c r="R2" i="2"/>
  <c r="R11" i="2"/>
  <c r="Q11" i="2"/>
  <c r="S11" i="2"/>
  <c r="T11" i="2"/>
  <c r="P11" i="2"/>
  <c r="U6" i="2"/>
  <c r="O11" i="2"/>
  <c r="N22" i="2"/>
  <c r="N11" i="2"/>
  <c r="O19" i="2"/>
  <c r="N23" i="2"/>
  <c r="O22" i="2"/>
  <c r="U19" i="2"/>
  <c r="N7" i="2"/>
  <c r="N5" i="2"/>
  <c r="O20" i="2"/>
  <c r="O28" i="2"/>
  <c r="U5" i="2"/>
  <c r="S10" i="2"/>
  <c r="T10" i="2"/>
  <c r="P10" i="2"/>
  <c r="R10" i="2"/>
  <c r="Q10" i="2"/>
  <c r="P25" i="2"/>
  <c r="Q25" i="2"/>
  <c r="S25" i="2"/>
  <c r="R25" i="2"/>
  <c r="T25" i="2"/>
  <c r="R27" i="2"/>
  <c r="S27" i="2"/>
  <c r="S20" i="2"/>
  <c r="O15" i="2"/>
  <c r="O23" i="2"/>
  <c r="U15" i="2"/>
  <c r="P5" i="2"/>
  <c r="R5" i="2"/>
  <c r="Q5" i="2"/>
  <c r="S5" i="2"/>
  <c r="T5" i="2"/>
  <c r="N2" i="2"/>
  <c r="N9" i="2"/>
  <c r="N3" i="2"/>
  <c r="U27" i="2"/>
  <c r="U9" i="2"/>
  <c r="N30" i="2"/>
  <c r="O16" i="2"/>
  <c r="O30" i="2"/>
  <c r="N14" i="2"/>
  <c r="O7" i="2"/>
  <c r="R15" i="2"/>
  <c r="P15" i="2"/>
  <c r="S15" i="2"/>
  <c r="T15" i="2"/>
  <c r="Q15" i="2"/>
  <c r="Q20" i="2"/>
  <c r="O4" i="2"/>
  <c r="P20" i="2"/>
  <c r="O17" i="2"/>
  <c r="N10" i="2"/>
  <c r="N27" i="2"/>
  <c r="U20" i="2"/>
  <c r="Q27" i="2"/>
  <c r="U25" i="2"/>
  <c r="O10" i="2"/>
  <c r="N25" i="2"/>
  <c r="O2" i="2"/>
  <c r="O3" i="2"/>
  <c r="U14" i="2"/>
  <c r="N21" i="2"/>
  <c r="O21" i="2"/>
  <c r="U31" i="2"/>
  <c r="N18" i="2"/>
  <c r="N31" i="2"/>
  <c r="O6" i="2"/>
  <c r="P27" i="2"/>
  <c r="N26" i="2"/>
  <c r="O26" i="2"/>
  <c r="U24" i="2"/>
  <c r="U17" i="2"/>
  <c r="U16" i="2"/>
  <c r="U13" i="2"/>
  <c r="N24" i="2"/>
  <c r="U4" i="2"/>
  <c r="O18" i="2"/>
  <c r="R20" i="2"/>
  <c r="P13" i="2"/>
  <c r="O12" i="2"/>
  <c r="O8" i="2"/>
  <c r="U29" i="2"/>
  <c r="Q13" i="2"/>
  <c r="S13" i="2"/>
  <c r="U12" i="2"/>
  <c r="N29" i="2"/>
  <c r="U28" i="2"/>
  <c r="T13" i="2"/>
  <c r="U8" i="2"/>
  <c r="P21" i="2"/>
  <c r="Q21" i="2"/>
  <c r="R21" i="2"/>
  <c r="T21" i="2"/>
  <c r="S21" i="2"/>
  <c r="P17" i="2"/>
  <c r="T17" i="2"/>
  <c r="R17" i="2"/>
  <c r="Q17" i="2"/>
  <c r="S17" i="2"/>
  <c r="H17" i="3" l="1"/>
  <c r="H13" i="3" a="1"/>
  <c r="H13" i="3" s="1"/>
  <c r="E22" i="3"/>
  <c r="H10" i="3" s="1"/>
  <c r="H19" i="3" a="1"/>
  <c r="H19" i="3" s="1"/>
  <c r="B15" i="3" a="1"/>
  <c r="B15" i="3" s="1"/>
  <c r="W13" i="5" s="1"/>
  <c r="B9" i="3"/>
  <c r="B17" i="3"/>
  <c r="Q13" i="5" s="1"/>
  <c r="B10" i="3"/>
  <c r="B12" i="3"/>
  <c r="B6" i="3"/>
  <c r="J13" i="5" s="1"/>
  <c r="B19" i="3"/>
  <c r="L13" i="5" s="1"/>
  <c r="B18" i="3"/>
  <c r="K13" i="5" s="1"/>
  <c r="B7" i="3"/>
  <c r="B8" i="3"/>
  <c r="B16" i="3"/>
  <c r="P13" i="5" s="1"/>
  <c r="B14" i="3"/>
  <c r="V13" i="5" s="1"/>
  <c r="B11" i="3"/>
  <c r="B13" i="3"/>
  <c r="U13" i="5" s="1"/>
  <c r="B5" i="3"/>
  <c r="I13" i="5" s="1"/>
  <c r="B4" i="3"/>
  <c r="H13" i="5" s="1"/>
  <c r="B3" i="3"/>
  <c r="G13" i="5" s="1"/>
  <c r="H28" i="3" l="1"/>
  <c r="E13" i="3"/>
  <c r="H6" i="3" s="1"/>
  <c r="E5" i="3"/>
  <c r="S13" i="5" s="1"/>
  <c r="M13" i="5"/>
  <c r="E4" i="3"/>
  <c r="E6" i="3"/>
  <c r="T13" i="5" s="1"/>
  <c r="B21" i="3"/>
  <c r="E12" i="3"/>
  <c r="H7" i="3" s="1"/>
  <c r="E11" i="3"/>
  <c r="B20" i="3"/>
  <c r="E14" i="3"/>
  <c r="H8" i="3" s="1"/>
  <c r="B22" i="3"/>
  <c r="E15" i="3" l="1"/>
  <c r="E3" i="3"/>
  <c r="H5" i="3"/>
  <c r="O13" i="5"/>
  <c r="N13" i="5"/>
  <c r="E18" i="3"/>
  <c r="H21" i="3" s="1"/>
  <c r="E19" i="3"/>
  <c r="H22" i="3" s="1"/>
  <c r="E8" i="3"/>
  <c r="E7" i="3"/>
  <c r="E20" i="3" l="1"/>
  <c r="H3" i="3"/>
  <c r="B23" i="3"/>
  <c r="D13" i="5" s="1"/>
  <c r="H4" i="3"/>
  <c r="E21" i="3"/>
  <c r="C13" i="5"/>
  <c r="E13" i="5"/>
  <c r="E16" i="3"/>
  <c r="F13" i="5" s="1"/>
  <c r="E17" i="3"/>
  <c r="H23" i="3" l="1"/>
  <c r="H24" i="3"/>
  <c r="R13" i="5"/>
  <c r="H20" i="3"/>
  <c r="H25" i="3" l="1"/>
  <c r="H29" i="3"/>
  <c r="H27" i="3"/>
  <c r="H26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<sst xmlns="http://schemas.openxmlformats.org/spreadsheetml/2006/main" count="333" uniqueCount="255">
  <si>
    <t>No.</t>
  </si>
  <si>
    <t>Date</t>
  </si>
  <si>
    <t>Symbol</t>
  </si>
  <si>
    <t>Basic</t>
  </si>
  <si>
    <t>Open</t>
  </si>
  <si>
    <t>Close</t>
  </si>
  <si>
    <t>High</t>
  </si>
  <si>
    <t>Low</t>
  </si>
  <si>
    <t>Change (+/-)</t>
  </si>
  <si>
    <t>%</t>
  </si>
  <si>
    <t>Order Matching Vol</t>
  </si>
  <si>
    <t>Order Matching Val</t>
  </si>
  <si>
    <t>Put-Through Vol</t>
  </si>
  <si>
    <t>Put-Through Val</t>
  </si>
  <si>
    <t>Total Vol</t>
  </si>
  <si>
    <t>Total Val</t>
  </si>
  <si>
    <t>Market Cap.</t>
  </si>
  <si>
    <t>Ticker</t>
  </si>
  <si>
    <t>RefPrice</t>
  </si>
  <si>
    <t>Price</t>
  </si>
  <si>
    <t>ChangeAbs</t>
  </si>
  <si>
    <t>ChangePct</t>
  </si>
  <si>
    <t>Volume</t>
  </si>
  <si>
    <t>Value(Bil VND)</t>
  </si>
  <si>
    <t>Weight(optional)</t>
  </si>
  <si>
    <t>IsBank?(0/1)</t>
  </si>
  <si>
    <t>RangePos(0-1)</t>
  </si>
  <si>
    <t>NearHigh</t>
  </si>
  <si>
    <t>NearLow</t>
  </si>
  <si>
    <t>Up</t>
  </si>
  <si>
    <t>Down</t>
  </si>
  <si>
    <t>Up&gt;1%</t>
  </si>
  <si>
    <t>Down&lt;-1%</t>
  </si>
  <si>
    <t>WeightedRangePos</t>
  </si>
  <si>
    <t>VN30 AutoScore Dashboard (Paste data in Raw_HOSE_Paste)</t>
  </si>
  <si>
    <t>Key metrics</t>
  </si>
  <si>
    <t>Signals</t>
  </si>
  <si>
    <t>Breadth Up</t>
  </si>
  <si>
    <t>Breadth Down</t>
  </si>
  <si>
    <t>% Up</t>
  </si>
  <si>
    <t>% Down</t>
  </si>
  <si>
    <t>Bank WeightedMove</t>
  </si>
  <si>
    <t>How to use:</t>
  </si>
  <si>
    <t>1) Paste/overwrite 30 rows into Raw_HOSE_Paste (A1:Q31).</t>
  </si>
  <si>
    <t>2) Go to Dashboard to see scores; AutoScore_Table shows per-ticker flags.</t>
  </si>
  <si>
    <t>3) Optional: fill Weight(optional) in AutoScore_Table col J to override MarketCap weights.</t>
  </si>
  <si>
    <t>Bank tickers (IsBank=1)</t>
  </si>
  <si>
    <t>Notes</t>
  </si>
  <si>
    <t>ACB</t>
  </si>
  <si>
    <t>VIC</t>
  </si>
  <si>
    <t>Paste the HOSE-style 30-row table into Raw_HOSE_Paste starting at A1 (including headers).</t>
  </si>
  <si>
    <t>BID</t>
  </si>
  <si>
    <t>VHM</t>
  </si>
  <si>
    <t>Weights default to MarketCap proportion if Weight(optional) left blank.</t>
  </si>
  <si>
    <t>CTG</t>
  </si>
  <si>
    <t>VCB</t>
  </si>
  <si>
    <t>HDB</t>
  </si>
  <si>
    <t>LPB</t>
  </si>
  <si>
    <t>FPT</t>
  </si>
  <si>
    <t>MBB</t>
  </si>
  <si>
    <t>GAS</t>
  </si>
  <si>
    <t>SHB</t>
  </si>
  <si>
    <t>SSB</t>
  </si>
  <si>
    <t>VPB</t>
  </si>
  <si>
    <t>STB</t>
  </si>
  <si>
    <t>VNM</t>
  </si>
  <si>
    <t>TCB</t>
  </si>
  <si>
    <t>MWG</t>
  </si>
  <si>
    <t>TPB</t>
  </si>
  <si>
    <t>VIB</t>
  </si>
  <si>
    <t>DGC</t>
  </si>
  <si>
    <t>GVR</t>
  </si>
  <si>
    <t>HPG</t>
  </si>
  <si>
    <t>MSN</t>
  </si>
  <si>
    <t>PLX</t>
  </si>
  <si>
    <t>SAB</t>
  </si>
  <si>
    <t>SSI</t>
  </si>
  <si>
    <t>VJC</t>
  </si>
  <si>
    <t>VPL</t>
  </si>
  <si>
    <t>VRE</t>
  </si>
  <si>
    <t>Average</t>
  </si>
  <si>
    <t>Score components (0-100)</t>
  </si>
  <si>
    <t>% Near High</t>
  </si>
  <si>
    <t>% Near Low</t>
  </si>
  <si>
    <t>x</t>
  </si>
  <si>
    <t>Composite Score</t>
  </si>
  <si>
    <t>IsHeavyweights?(0/1)</t>
  </si>
  <si>
    <t>Heavyweights WeightedMove</t>
  </si>
  <si>
    <t>VN30 AutoScore — History Log</t>
  </si>
  <si>
    <t>How to use (no macro):</t>
  </si>
  <si>
    <t>Auto stats (computed from logged outcomes)</t>
  </si>
  <si>
    <t>Bucket (MSI label)</t>
  </si>
  <si>
    <t>N</t>
  </si>
  <si>
    <t>Cont.Up %</t>
  </si>
  <si>
    <t>Digest %</t>
  </si>
  <si>
    <t>Pullback %</t>
  </si>
  <si>
    <t>STRONG BULL</t>
  </si>
  <si>
    <t>BULL</t>
  </si>
  <si>
    <t>MSI Score</t>
  </si>
  <si>
    <t>MSI Label</t>
  </si>
  <si>
    <t>State Label</t>
  </si>
  <si>
    <t>WeightedMove Sum</t>
  </si>
  <si>
    <t>Trend Score</t>
  </si>
  <si>
    <t>Distortion Score</t>
  </si>
  <si>
    <t>Bank Share</t>
  </si>
  <si>
    <t>BullTrapRisk</t>
  </si>
  <si>
    <t>WashoutChance</t>
  </si>
  <si>
    <t>SqueezeChance</t>
  </si>
  <si>
    <t>NextDay WeightedMove</t>
  </si>
  <si>
    <t>NextDay Composite</t>
  </si>
  <si>
    <t>Outcome T+1</t>
  </si>
  <si>
    <t>BULL / SQUEEZE RISK</t>
  </si>
  <si>
    <t>Heavyweights Share</t>
  </si>
  <si>
    <t>Non-Heavyweights WeightedMove</t>
  </si>
  <si>
    <t>LOW</t>
  </si>
  <si>
    <t>Stock</t>
  </si>
  <si>
    <t>Change</t>
  </si>
  <si>
    <t>Outstanding Shares</t>
  </si>
  <si>
    <t>Proportion</t>
  </si>
  <si>
    <t>%influence</t>
  </si>
  <si>
    <t>Influence points</t>
  </si>
  <si>
    <t xml:space="preserve"> MSI Score:</t>
  </si>
  <si>
    <t>Composite:</t>
  </si>
  <si>
    <t>Breadth score:</t>
  </si>
  <si>
    <t>Trend score:</t>
  </si>
  <si>
    <t>Distortion:</t>
  </si>
  <si>
    <t>NearHigh score:</t>
  </si>
  <si>
    <t xml:space="preserve">INDEX CONTROL </t>
  </si>
  <si>
    <t>Weighted Breadth:</t>
  </si>
  <si>
    <t>Influence Concentration:</t>
  </si>
  <si>
    <t>Top3 Share:</t>
  </si>
  <si>
    <t>Bank Share:</t>
  </si>
  <si>
    <t xml:space="preserve">RISK &amp; EVENT PROBABILITY </t>
  </si>
  <si>
    <t>BullTrap:</t>
  </si>
  <si>
    <t>Washout:</t>
  </si>
  <si>
    <t xml:space="preserve"> Squeeze:</t>
  </si>
  <si>
    <t>MARKET HEALTH</t>
  </si>
  <si>
    <t>Top Heavyweight Influence Share:</t>
  </si>
  <si>
    <t>Index Dependency Risk (0–100)</t>
  </si>
  <si>
    <t>Regime:</t>
  </si>
  <si>
    <t>Structure:</t>
  </si>
  <si>
    <t>Risk Flag:</t>
  </si>
  <si>
    <t>FINAL VERDICT:</t>
  </si>
  <si>
    <t>ACTION BIAS:</t>
  </si>
  <si>
    <t>PREFERRED SETUP:</t>
  </si>
  <si>
    <t>Breadth Up:</t>
  </si>
  <si>
    <t>Breadth Down:</t>
  </si>
  <si>
    <t>% Up:</t>
  </si>
  <si>
    <t>% Down:</t>
  </si>
  <si>
    <t>Near High Count:</t>
  </si>
  <si>
    <t>Near Low Count:</t>
  </si>
  <si>
    <t>Up &gt; 1% count:</t>
  </si>
  <si>
    <t>Down &lt; -1% count:</t>
  </si>
  <si>
    <t>WeightedMove (sum):</t>
  </si>
  <si>
    <t>Weighted range-pos (sum w*pos):</t>
  </si>
  <si>
    <t>Bank WeightedMove:</t>
  </si>
  <si>
    <t>Heavyweights WeightedMove:</t>
  </si>
  <si>
    <t>Non-Heavyweights WeightedMove:</t>
  </si>
  <si>
    <t>Bank Share of TotalMove:</t>
  </si>
  <si>
    <t>Heavyweights Share of TotalMove:</t>
  </si>
  <si>
    <t>% Near High:</t>
  </si>
  <si>
    <t>% Near Low:</t>
  </si>
  <si>
    <t>Up/Down:</t>
  </si>
  <si>
    <t>NearHigh/NearLow:</t>
  </si>
  <si>
    <t>Heavyweights vs Rest (w*%chg):</t>
  </si>
  <si>
    <t>MSI (simple):</t>
  </si>
  <si>
    <t>Weighted Up Share:</t>
  </si>
  <si>
    <t>Weighted Down Share:</t>
  </si>
  <si>
    <t>MSI Score (Spot Context):</t>
  </si>
  <si>
    <t>BullTrapRisk (0-100):</t>
  </si>
  <si>
    <t>WashoutChance (0-100):</t>
  </si>
  <si>
    <t>SqueezeChance (0-100):</t>
  </si>
  <si>
    <t>ATC Pull Up chance:</t>
  </si>
  <si>
    <t>ATC Dump chance:</t>
  </si>
  <si>
    <t>NearHigh-Low score:</t>
  </si>
  <si>
    <t>Trend score (weighted move):</t>
  </si>
  <si>
    <t>Distortion score (Heavyweights - Rest):</t>
  </si>
  <si>
    <t>Composite Score:</t>
  </si>
  <si>
    <t>State label:</t>
  </si>
  <si>
    <t>Bull-trap risk:</t>
  </si>
  <si>
    <t>Washout opportunity:</t>
  </si>
  <si>
    <t>Squeeze trigger watch:</t>
  </si>
  <si>
    <t>MSI Score vs Composite Score:</t>
  </si>
  <si>
    <t>Composite Score Evalution:</t>
  </si>
  <si>
    <t>Weighted Breadth score (0-100):</t>
  </si>
  <si>
    <t>Influence Concentration score:</t>
  </si>
  <si>
    <t>2) Paste/overwrite 30 rows into Raw_VN30_Influence_Paste (A1:I31).</t>
  </si>
  <si>
    <t>MSI = Context engine (breadth-heavy)
Composite = Momentum engine
Distortion = Structure quality
Heavyweight split = Index control layer</t>
  </si>
  <si>
    <t>Open interest (OI)</t>
  </si>
  <si>
    <t>Settlement price</t>
  </si>
  <si>
    <t>24.2(1.2)</t>
  </si>
  <si>
    <t>-7.2(-0.36)</t>
  </si>
  <si>
    <t>-10.5(-0.52)</t>
  </si>
  <si>
    <t>3(0.15)</t>
  </si>
  <si>
    <t>51.9(2.64)</t>
  </si>
  <si>
    <t>10.4(0.53)</t>
  </si>
  <si>
    <t>4.4(0.23)</t>
  </si>
  <si>
    <t>-20.9(-1.06)</t>
  </si>
  <si>
    <t>-37.8(-1.88)</t>
  </si>
  <si>
    <t>10(0.5)</t>
  </si>
  <si>
    <t>ΔClose</t>
  </si>
  <si>
    <t>ΔOI</t>
  </si>
  <si>
    <t>OI_Quadrant</t>
  </si>
  <si>
    <t>ValidDay</t>
  </si>
  <si>
    <t>DayRank</t>
  </si>
  <si>
    <t xml:space="preserve">Put-through </t>
  </si>
  <si>
    <t>OI 3D Bias</t>
  </si>
  <si>
    <t>BUILD LONG (Gom Long): Giá Tăng + OI Tăng. (Có dòng tiền mới đổ vào cược thị trường lên.
BUILD SHORT (Gom Short): Giá Giảm + OI Tăng. (Có dòng tiền mới đổ vào cược thị trường xuống).
SHORT COVER (Đóng Short/Cắt lỗ): Giá Tăng + OI Giảm. (Giá tăng không phải do tiền mới mua vào, mà do phe Short hoảng loạn mua lại hợp đồng để cắt lỗ).
LONG UNWIND (Chốt lời/Rũ bỏ Long): Giá Giảm + OI Giảm. (Phe Long chốt lời hoặc bỏ chạy).</t>
  </si>
  <si>
    <t>NEUTRAL</t>
  </si>
  <si>
    <t>SIDEWAY / TRAP ZONE</t>
  </si>
  <si>
    <t>2.5(0.12)</t>
  </si>
  <si>
    <t>300 (+0.52%)</t>
  </si>
  <si>
    <t>Paste Raw_HOSE_Paste daily → Dashboard updates → copy row 13 (A:V)and Paste Values into next empty row below, then copy row 13 (W,X,Y) and Paste Formulas into that new row.</t>
  </si>
  <si>
    <t>0(0)</t>
  </si>
  <si>
    <t>Time</t>
  </si>
  <si>
    <t>InfluencePoints(raw)</t>
  </si>
  <si>
    <t>%Influence(raw)</t>
  </si>
  <si>
    <t>Proportion(raw)</t>
  </si>
  <si>
    <t>Top3 %Influence Share:</t>
  </si>
  <si>
    <t>Top3 Proportion Share:</t>
  </si>
  <si>
    <t>Rotation Delta:</t>
  </si>
  <si>
    <t>-</t>
  </si>
  <si>
    <t>100 (+0.41%)</t>
  </si>
  <si>
    <t>0 (0%)</t>
  </si>
  <si>
    <t>50 (+0.17%)</t>
  </si>
  <si>
    <t>9.2(0.45)</t>
  </si>
  <si>
    <t>DISTRIBUTION</t>
  </si>
  <si>
    <t>-450 (-1.58%)</t>
  </si>
  <si>
    <t>WEAK BULL</t>
  </si>
  <si>
    <t>-5.8(-0.28)</t>
  </si>
  <si>
    <t>2,400 (+2.65%)</t>
  </si>
  <si>
    <t>3,100 (+1.84%)</t>
  </si>
  <si>
    <t>1,900 (+1.79%)</t>
  </si>
  <si>
    <t>1,800 (+2.20%)</t>
  </si>
  <si>
    <t>400 (+0.37%)</t>
  </si>
  <si>
    <t>200 (+0.27%)</t>
  </si>
  <si>
    <t>50 (+0.27%)</t>
  </si>
  <si>
    <t>-100 (-0.59%)</t>
  </si>
  <si>
    <t>-550 (-1.14%)</t>
  </si>
  <si>
    <t>-700 (-1.43%)</t>
  </si>
  <si>
    <t>-100 (-0.57%)</t>
  </si>
  <si>
    <t>-800 (-1.96%)</t>
  </si>
  <si>
    <t>-100 (-0.23%)</t>
  </si>
  <si>
    <t>-250 (-0.65%)</t>
  </si>
  <si>
    <t>-500 (-0.76%)</t>
  </si>
  <si>
    <t>-200 (-1.24%)</t>
  </si>
  <si>
    <t>-200 (-0.55%)</t>
  </si>
  <si>
    <t>-300 (-1.04%)</t>
  </si>
  <si>
    <t>-500 (-0.53%)</t>
  </si>
  <si>
    <t>-700 (-2.35%)</t>
  </si>
  <si>
    <t>-2,700 (-1.51%)</t>
  </si>
  <si>
    <t>-1,500 (-2.24%)</t>
  </si>
  <si>
    <t>-1,400 (-1.74%)</t>
  </si>
  <si>
    <t>-2,400 (-3.40%)</t>
  </si>
  <si>
    <t>-600 (-2.04%)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</si>
</sst>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yyyy\-mm\-dd"/>
    <numFmt numFmtId="167" formatCode="h:mm;@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8000"/>
      <name val="Calibri"/>
      <family val="2"/>
      <scheme val="minor"/>
    </font>
    <font>
      <sz val="11"/>
      <color rgb="FFE60000"/>
      <name val="Calibri"/>
      <family val="2"/>
      <scheme val="minor"/>
    </font>
    <font>
      <sz val="11"/>
      <color rgb="FFFF8C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0FE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wrapText="1"/>
    </xf>
    <xf numFmtId="9" fontId="0" fillId="0" borderId="0" xfId="1" applyFont="1"/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165" fontId="6" fillId="4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/>
    <xf numFmtId="10" fontId="0" fillId="0" borderId="1" xfId="0" applyNumberFormat="1" applyBorder="1"/>
    <xf numFmtId="1" fontId="0" fillId="0" borderId="1" xfId="1" applyNumberFormat="1" applyFont="1" applyBorder="1"/>
    <xf numFmtId="9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/>
    <xf numFmtId="1" fontId="0" fillId="0" borderId="0" xfId="0" applyNumberFormat="1"/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2" fontId="0" fillId="0" borderId="0" xfId="1" applyNumberFormat="1" applyFont="1"/>
    <xf numFmtId="0" fontId="0" fillId="0" borderId="0" xfId="0" applyAlignment="1">
      <alignment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  <xf numFmtId="4" fontId="7" fillId="0" borderId="0" xfId="0" applyNumberFormat="1" applyFont="1" applyAlignment="1">
      <alignment vertical="center" wrapText="1"/>
    </xf>
    <xf numFmtId="3" fontId="0" fillId="0" borderId="0" xfId="0" applyNumberFormat="1"/>
    <xf numFmtId="0" fontId="7" fillId="0" borderId="0" xfId="0" applyFont="1" applyAlignment="1">
      <alignment vertical="center" wrapText="1"/>
    </xf>
    <xf numFmtId="4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4" fontId="5" fillId="0" borderId="0" xfId="0" applyNumberFormat="1" applyFont="1"/>
    <xf numFmtId="4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167" fontId="0" fillId="0" borderId="1" xfId="0" applyNumberFormat="1" applyBorder="1"/>
  </cellXfs>
  <cellStyles count="2">
    <cellStyle name="Normal" xfId="0" builtinId="0"/>
    <cellStyle name="Percent" xfId="1" builtinId="5"/>
  </cellStyles>
  <dxfs count="15">
    <dxf>
      <numFmt numFmtId="0" formatCode="General"/>
    </dxf>
    <dxf>
      <numFmt numFmtId="0" formatCode="General"/>
    </dxf>
    <dxf>
      <numFmt numFmtId="3" formatCode="#,##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4" formatCode="#,##0.0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E60000"/>
        <name val="Calibri"/>
        <family val="2"/>
        <scheme val="minor"/>
      </font>
      <numFmt numFmtId="4" formatCode="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numFmt numFmtId="4" formatCode="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numFmt numFmtId="4" formatCode="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numFmt numFmtId="4" formatCode="#,##0.00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VNF\_VN30_AutoScore_PRO_UPDATED.xlsx" TargetMode="External"/><Relationship Id="rId1" Type="http://schemas.openxmlformats.org/officeDocument/2006/relationships/externalLinkPath" Target="/DataVNF/_VN30_AutoScore_PRO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VN30_Statistic"/>
      <sheetName val="Raw_VN30_Influence"/>
      <sheetName val="Dashboard"/>
      <sheetName val="Raw_OI"/>
      <sheetName val="History_Log"/>
      <sheetName val="AutoScore"/>
      <sheetName val="Settings"/>
    </sheetNames>
    <sheetDataSet>
      <sheetData sheetId="0"/>
      <sheetData sheetId="1">
        <row r="2">
          <cell r="B2" t="str">
            <v>HPG</v>
          </cell>
          <cell r="G2">
            <v>9.4023000000000003</v>
          </cell>
          <cell r="H2">
            <v>0.33189999999999997</v>
          </cell>
          <cell r="I2">
            <v>6.8068</v>
          </cell>
        </row>
        <row r="3">
          <cell r="B3" t="str">
            <v>STB</v>
          </cell>
          <cell r="G3">
            <v>4.1097999999999999</v>
          </cell>
          <cell r="H3">
            <v>0.21410000000000001</v>
          </cell>
          <cell r="I3">
            <v>4.3913000000000002</v>
          </cell>
        </row>
        <row r="4">
          <cell r="B4" t="str">
            <v>VNM</v>
          </cell>
          <cell r="G4">
            <v>4.5944000000000003</v>
          </cell>
          <cell r="H4">
            <v>0.13739999999999999</v>
          </cell>
          <cell r="I4">
            <v>2.8172999999999999</v>
          </cell>
        </row>
        <row r="5">
          <cell r="B5" t="str">
            <v>SHB</v>
          </cell>
          <cell r="G5">
            <v>1.9201999999999999</v>
          </cell>
          <cell r="H5">
            <v>8.0299999999999996E-2</v>
          </cell>
          <cell r="I5">
            <v>1.6460999999999999</v>
          </cell>
        </row>
        <row r="6">
          <cell r="B6" t="str">
            <v>MBB</v>
          </cell>
          <cell r="G6">
            <v>3.9836999999999998</v>
          </cell>
          <cell r="H6">
            <v>7.0499999999999993E-2</v>
          </cell>
          <cell r="I6">
            <v>1.4460999999999999</v>
          </cell>
        </row>
        <row r="7">
          <cell r="B7" t="str">
            <v>ACB</v>
          </cell>
          <cell r="G7">
            <v>3.6726999999999999</v>
          </cell>
          <cell r="H7">
            <v>6.9000000000000006E-2</v>
          </cell>
          <cell r="I7">
            <v>1.4159999999999999</v>
          </cell>
        </row>
        <row r="8">
          <cell r="B8" t="str">
            <v>MWG</v>
          </cell>
          <cell r="G8">
            <v>7.7858000000000001</v>
          </cell>
          <cell r="H8">
            <v>6.7699999999999996E-2</v>
          </cell>
          <cell r="I8">
            <v>1.3892</v>
          </cell>
        </row>
        <row r="9">
          <cell r="B9" t="str">
            <v>GVR</v>
          </cell>
          <cell r="G9">
            <v>0.51319999999999999</v>
          </cell>
          <cell r="H9">
            <v>3.5799999999999998E-2</v>
          </cell>
          <cell r="I9">
            <v>0.73360000000000003</v>
          </cell>
        </row>
        <row r="10">
          <cell r="B10" t="str">
            <v>TPB</v>
          </cell>
          <cell r="G10">
            <v>0.97889999999999999</v>
          </cell>
          <cell r="H10">
            <v>3.2500000000000001E-2</v>
          </cell>
          <cell r="I10">
            <v>0.66649999999999998</v>
          </cell>
        </row>
        <row r="11">
          <cell r="B11" t="str">
            <v>TCB</v>
          </cell>
          <cell r="G11">
            <v>4.8272000000000004</v>
          </cell>
          <cell r="H11">
            <v>2.7E-2</v>
          </cell>
          <cell r="I11">
            <v>0.5544</v>
          </cell>
        </row>
        <row r="12">
          <cell r="B12" t="str">
            <v>DGC</v>
          </cell>
          <cell r="G12">
            <v>1.3164</v>
          </cell>
          <cell r="H12">
            <v>1.5800000000000002E-2</v>
          </cell>
          <cell r="I12">
            <v>0.32400000000000001</v>
          </cell>
        </row>
        <row r="13">
          <cell r="B13" t="str">
            <v>CTG</v>
          </cell>
          <cell r="G13">
            <v>1.5430999999999999</v>
          </cell>
          <cell r="H13">
            <v>1.2200000000000001E-2</v>
          </cell>
          <cell r="I13">
            <v>0.25</v>
          </cell>
        </row>
        <row r="14">
          <cell r="B14" t="str">
            <v>VIB</v>
          </cell>
          <cell r="G14">
            <v>1.3245</v>
          </cell>
          <cell r="H14">
            <v>7.7000000000000002E-3</v>
          </cell>
          <cell r="I14">
            <v>0.1575</v>
          </cell>
        </row>
        <row r="15">
          <cell r="B15" t="str">
            <v>SAB</v>
          </cell>
          <cell r="G15">
            <v>0.52759999999999996</v>
          </cell>
          <cell r="H15">
            <v>4.3E-3</v>
          </cell>
          <cell r="I15">
            <v>8.8700000000000001E-2</v>
          </cell>
        </row>
        <row r="16">
          <cell r="B16" t="str">
            <v>SSI</v>
          </cell>
          <cell r="G16">
            <v>1.9287000000000001</v>
          </cell>
          <cell r="H16">
            <v>3.0999999999999999E-3</v>
          </cell>
          <cell r="I16">
            <v>6.3299999999999995E-2</v>
          </cell>
        </row>
        <row r="17">
          <cell r="B17" t="str">
            <v>VCB</v>
          </cell>
          <cell r="G17">
            <v>2.0585</v>
          </cell>
          <cell r="H17">
            <v>3.0999999999999999E-3</v>
          </cell>
          <cell r="I17">
            <v>6.3299999999999995E-2</v>
          </cell>
        </row>
        <row r="18">
          <cell r="B18" t="str">
            <v>PLX</v>
          </cell>
          <cell r="G18">
            <v>0.56010000000000004</v>
          </cell>
          <cell r="H18">
            <v>2.8999999999999998E-3</v>
          </cell>
          <cell r="I18">
            <v>5.9700000000000003E-2</v>
          </cell>
        </row>
        <row r="19">
          <cell r="B19" t="str">
            <v>BID</v>
          </cell>
          <cell r="G19">
            <v>0.46860000000000002</v>
          </cell>
          <cell r="H19">
            <v>-2.3999999999999998E-3</v>
          </cell>
          <cell r="I19">
            <v>-4.9000000000000002E-2</v>
          </cell>
        </row>
        <row r="20">
          <cell r="B20" t="str">
            <v>SSB</v>
          </cell>
          <cell r="G20">
            <v>0.82950000000000002</v>
          </cell>
          <cell r="H20">
            <v>-2.3999999999999998E-3</v>
          </cell>
          <cell r="I20">
            <v>-4.9299999999999997E-2</v>
          </cell>
        </row>
        <row r="21">
          <cell r="B21" t="str">
            <v>GAS</v>
          </cell>
          <cell r="G21">
            <v>1.0087999999999999</v>
          </cell>
          <cell r="H21">
            <v>-4.4999999999999997E-3</v>
          </cell>
          <cell r="I21">
            <v>-9.3100000000000002E-2</v>
          </cell>
        </row>
        <row r="22">
          <cell r="B22" t="str">
            <v>HDB</v>
          </cell>
          <cell r="G22">
            <v>3.9192999999999998</v>
          </cell>
          <cell r="H22">
            <v>-7.1000000000000004E-3</v>
          </cell>
          <cell r="I22">
            <v>-0.1447</v>
          </cell>
        </row>
        <row r="23">
          <cell r="B23" t="str">
            <v>VPL</v>
          </cell>
          <cell r="G23">
            <v>0.62519999999999998</v>
          </cell>
          <cell r="H23">
            <v>-1.8700000000000001E-2</v>
          </cell>
          <cell r="I23">
            <v>-0.38340000000000002</v>
          </cell>
        </row>
        <row r="24">
          <cell r="B24" t="str">
            <v>VPB</v>
          </cell>
          <cell r="G24">
            <v>4.7248999999999999</v>
          </cell>
          <cell r="H24">
            <v>-2.46E-2</v>
          </cell>
          <cell r="I24">
            <v>-0.50390000000000001</v>
          </cell>
        </row>
        <row r="25">
          <cell r="B25" t="str">
            <v>LPB</v>
          </cell>
          <cell r="G25">
            <v>4.13</v>
          </cell>
          <cell r="H25">
            <v>-2.8899999999999999E-2</v>
          </cell>
          <cell r="I25">
            <v>-0.59289999999999998</v>
          </cell>
        </row>
        <row r="26">
          <cell r="B26" t="str">
            <v>MSN</v>
          </cell>
          <cell r="G26">
            <v>5.2954999999999997</v>
          </cell>
          <cell r="H26">
            <v>-3.9199999999999999E-2</v>
          </cell>
          <cell r="I26">
            <v>-0.80369999999999997</v>
          </cell>
        </row>
        <row r="27">
          <cell r="B27" t="str">
            <v>VRE</v>
          </cell>
          <cell r="G27">
            <v>1.9724999999999999</v>
          </cell>
          <cell r="H27">
            <v>-6.3500000000000001E-2</v>
          </cell>
          <cell r="I27">
            <v>-1.3026</v>
          </cell>
        </row>
        <row r="28">
          <cell r="B28" t="str">
            <v>VHM</v>
          </cell>
          <cell r="G28">
            <v>3.7833999999999999</v>
          </cell>
          <cell r="H28">
            <v>-0.13619999999999999</v>
          </cell>
          <cell r="I28">
            <v>-2.7932999999999999</v>
          </cell>
        </row>
        <row r="29">
          <cell r="B29" t="str">
            <v>VJC</v>
          </cell>
          <cell r="G29">
            <v>3.6122999999999998</v>
          </cell>
          <cell r="H29">
            <v>-0.15679999999999999</v>
          </cell>
          <cell r="I29">
            <v>-3.2151999999999998</v>
          </cell>
        </row>
        <row r="30">
          <cell r="B30" t="str">
            <v>VIC</v>
          </cell>
          <cell r="G30">
            <v>9.9253</v>
          </cell>
          <cell r="H30">
            <v>-0.29880000000000001</v>
          </cell>
          <cell r="I30">
            <v>-6.1269</v>
          </cell>
        </row>
        <row r="31">
          <cell r="B31" t="str">
            <v>FPT</v>
          </cell>
          <cell r="G31">
            <v>8.6556999999999995</v>
          </cell>
          <cell r="H31">
            <v>-0.31850000000000001</v>
          </cell>
          <cell r="I31">
            <v>-6.5326000000000004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451B65-5ADB-41C7-8BB5-B26A7D1D22D3}" name="tblOI" displayName="tblOI" ref="A1:P15" totalsRowShown="0" headerRowDxfId="14">
  <autoFilter ref="A1:P15" xr:uid="{00451B65-5ADB-41C7-8BB5-B26A7D1D22D3}"/>
  <tableColumns count="16">
    <tableColumn id="1" xr3:uid="{53E86D0D-5C59-4AF1-8304-1F4DE9B5A76F}" name="No.">
      <calculatedColumnFormula>ROW()-ROW(tblOI[[#Headers],[No.]])</calculatedColumnFormula>
    </tableColumn>
    <tableColumn id="2" xr3:uid="{D09BEDB7-3CEA-4566-BC5E-703213F6F32F}" name="Date" dataDxfId="13"/>
    <tableColumn id="3" xr3:uid="{996B6466-F756-47CD-8B17-FF37CFF72B9D}" name="Open" dataDxfId="12"/>
    <tableColumn id="4" xr3:uid="{DC383CCF-0C64-48CA-BEEC-24C6B611BCCD}" name="Close" dataDxfId="11"/>
    <tableColumn id="5" xr3:uid="{3982333C-C581-4C99-9FC9-D19DCA74FC95}" name="High" dataDxfId="10"/>
    <tableColumn id="6" xr3:uid="{35D243A0-2BB9-476E-B011-0D2D71FD1FAA}" name="Low" dataDxfId="9"/>
    <tableColumn id="7" xr3:uid="{85B8A9C9-3530-4088-883E-804959B42EF8}" name="Volume" dataDxfId="8"/>
    <tableColumn id="8" xr3:uid="{7A9288F4-5348-40D5-A588-9AE1E3B72B54}" name="Put-through " dataDxfId="7"/>
    <tableColumn id="9" xr3:uid="{3DD1CE78-9A9E-4225-9DF2-3828FEDF0E5C}" name="Open interest (OI)" dataDxfId="6"/>
    <tableColumn id="10" xr3:uid="{3DE9AF8D-E2A4-4931-B6A4-2A50EFDE9EA5}" name="Settlement price" dataDxfId="5"/>
    <tableColumn id="11" xr3:uid="{212FC573-A9F1-4703-B237-931AD5806D37}" name="Change" dataDxfId="4"/>
    <tableColumn id="12" xr3:uid="{394E1E8A-C032-46FE-B37C-1E101D82607F}" name="ΔClose" dataDxfId="3">
      <calculatedColumnFormula array="1">IFERROR(tblOI[[#This Row],[Close]]-INDEX(tblOI[Close],tblOI[[#This Row],[No.]]+1),"")</calculatedColumnFormula>
    </tableColumn>
    <tableColumn id="13" xr3:uid="{9586EE7D-AAA1-4498-A76C-48F73DDD5A32}" name="ΔOI" dataDxfId="2">
      <calculatedColumnFormula array="1">IFERROR(tblOI[[#This Row],[Open interest (OI)]]-INDEX(tblOI[Open interest (OI)],tblOI[[#This Row],[No.]]+1),"")</calculatedColumnFormula>
    </tableColumn>
    <tableColumn id="14" xr3:uid="{BEE4E6E9-2024-42B2-9002-5A14371749F2}" name="OI_Quadrant" dataDxfId="1">
      <calculatedColumnFormula>IF(OR(tblOI[[#This Row],[ΔClose]]="",tblOI[[#This Row],[ΔOI]]=""),"",
 IF(AND(tblOI[[#This Row],[ΔClose]]&gt;0,tblOI[[#This Row],[ΔOI]]&gt;0),"BUILD LONG",
 IF(AND(tblOI[[#This Row],[ΔClose]]&lt;0,tblOI[[#This Row],[ΔOI]]&gt;0),"BUILD SHORT",
 IF(AND(tblOI[[#This Row],[ΔClose]]&gt;0,tblOI[[#This Row],[ΔOI]]&lt;0),"SHORT COVER",
 IF(AND(tblOI[[#This Row],[ΔClose]]&lt;0,tblOI[[#This Row],[ΔOI]]&lt;0),"LONG UNWIND","-")))))</calculatedColumnFormula>
    </tableColumn>
    <tableColumn id="15" xr3:uid="{F9F8B9CE-E6CC-4B45-9936-6D047D3641F7}" name="ValidDay" dataDxfId="0">
      <calculatedColumnFormula>IF(tblOI[[#This Row],[OI_Quadrant]]="","",1)</calculatedColumnFormula>
    </tableColumn>
    <tableColumn id="16" xr3:uid="{19A055B9-7579-41E8-BE7C-43A14D76E821}" name="DayRank">
      <calculatedColumnFormula>IF(tblOI[[#This Row],[ValidDay]]="","",SUMIFS(tblOI[ValidDay],tblOI[No.],"&lt;="&amp;tblOI[[#This Row],[No.]]))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workbookViewId="0">
      <selection activeCell="P2" sqref="P2"/>
    </sheetView>
  </sheetViews>
  <sheetFormatPr defaultRowHeight="14.25" x14ac:dyDescent="0.45"/>
  <cols>
    <col min="1" max="1" width="5.1328125" customWidth="1"/>
    <col min="2" max="2" width="9.06640625" customWidth="1"/>
    <col min="3" max="3" width="8.19921875" customWidth="1"/>
    <col min="4" max="5" width="7.33203125" customWidth="1"/>
    <col min="6" max="6" width="9.1328125" customWidth="1"/>
    <col min="7" max="7" width="7.06640625" customWidth="1"/>
    <col min="8" max="8" width="7.3984375" customWidth="1"/>
    <col min="9" max="9" width="9.19921875" customWidth="1"/>
    <col min="10" max="10" width="11.73046875" customWidth="1"/>
    <col min="11" max="11" width="5.6640625" customWidth="1"/>
    <col min="12" max="12" width="16.86328125" customWidth="1"/>
    <col min="13" max="13" width="16.265625" customWidth="1"/>
    <col min="14" max="14" width="14.46484375" customWidth="1"/>
    <col min="15" max="15" width="14" customWidth="1"/>
    <col min="16" max="16" width="13.53125" customWidth="1"/>
    <col min="17" max="17" width="10.796875" customWidth="1"/>
    <col min="18" max="18" width="13.265625" customWidth="1"/>
    <col min="19" max="19" width="14.73046875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9" x14ac:dyDescent="0.45">
      <c r="A2" s="5">
        <v>1</v>
      </c>
      <c r="B2" s="6">
        <v>46080</v>
      </c>
      <c r="C2" t="s">
        <v>48</v>
      </c>
      <c r="D2" s="5">
        <v>24.45</v>
      </c>
      <c r="E2" s="5">
        <v>24.45</v>
      </c>
      <c r="F2" s="5">
        <v>24.55</v>
      </c>
      <c r="G2" s="5">
        <v>24.6</v>
      </c>
      <c r="H2" s="5">
        <v>24.2</v>
      </c>
      <c r="I2" s="5">
        <v>24.44</v>
      </c>
      <c r="J2" s="5">
        <v>100</v>
      </c>
      <c r="K2" s="5">
        <v>0.41</v>
      </c>
      <c r="L2" s="7">
        <v>11051000</v>
      </c>
      <c r="M2" s="7">
        <v>270195</v>
      </c>
      <c r="N2" s="7">
        <v>3849900</v>
      </c>
      <c r="O2" s="7">
        <v>94145</v>
      </c>
      <c r="P2" s="7">
        <v>14900900</v>
      </c>
      <c r="Q2" s="7">
        <v>364340</v>
      </c>
      <c r="R2" s="7">
        <v>126104920</v>
      </c>
      <c r="S2" s="7"/>
    </row>
    <row r="3" spans="1:19" x14ac:dyDescent="0.45">
      <c r="A3" s="5">
        <v>2</v>
      </c>
      <c r="B3" s="6">
        <v>46080</v>
      </c>
      <c r="C3" t="s">
        <v>51</v>
      </c>
      <c r="D3" s="5">
        <v>48.45</v>
      </c>
      <c r="E3" s="5">
        <v>48.45</v>
      </c>
      <c r="F3" s="5">
        <v>47.9</v>
      </c>
      <c r="G3" s="5">
        <v>49.1</v>
      </c>
      <c r="H3" s="5">
        <v>47.5</v>
      </c>
      <c r="I3" s="5">
        <v>48.03</v>
      </c>
      <c r="J3" s="5">
        <v>-550</v>
      </c>
      <c r="K3" s="5">
        <v>-1.1399999999999999</v>
      </c>
      <c r="L3" s="7">
        <v>6519700</v>
      </c>
      <c r="M3" s="7">
        <v>312959</v>
      </c>
      <c r="N3" s="5">
        <v>0</v>
      </c>
      <c r="O3" s="5">
        <v>0</v>
      </c>
      <c r="P3" s="7">
        <v>6519700</v>
      </c>
      <c r="Q3" s="7">
        <v>312959</v>
      </c>
      <c r="R3" s="7">
        <v>336323236</v>
      </c>
      <c r="S3" s="7"/>
    </row>
    <row r="4" spans="1:19" x14ac:dyDescent="0.45">
      <c r="A4" s="5">
        <v>3</v>
      </c>
      <c r="B4" s="6">
        <v>46080</v>
      </c>
      <c r="C4" t="s">
        <v>54</v>
      </c>
      <c r="D4" s="5">
        <v>38.5</v>
      </c>
      <c r="E4" s="5">
        <v>38.450000000000003</v>
      </c>
      <c r="F4" s="5">
        <v>38.25</v>
      </c>
      <c r="G4" s="5">
        <v>38.450000000000003</v>
      </c>
      <c r="H4" s="5">
        <v>38.049999999999997</v>
      </c>
      <c r="I4" s="5">
        <v>38.18</v>
      </c>
      <c r="J4" s="5">
        <v>-250</v>
      </c>
      <c r="K4" s="5">
        <v>-0.65</v>
      </c>
      <c r="L4" s="7">
        <v>8888400</v>
      </c>
      <c r="M4" s="7">
        <v>339416</v>
      </c>
      <c r="N4" s="7">
        <v>2069000</v>
      </c>
      <c r="O4" s="7">
        <v>79446</v>
      </c>
      <c r="P4" s="7">
        <v>10957400</v>
      </c>
      <c r="Q4" s="7">
        <v>418862</v>
      </c>
      <c r="R4" s="7">
        <v>297085632</v>
      </c>
      <c r="S4" s="7"/>
    </row>
    <row r="5" spans="1:19" x14ac:dyDescent="0.45">
      <c r="A5" s="5">
        <v>4</v>
      </c>
      <c r="B5" s="6">
        <v>46080</v>
      </c>
      <c r="C5" t="s">
        <v>70</v>
      </c>
      <c r="D5" s="5">
        <v>73.599999999999994</v>
      </c>
      <c r="E5" s="5">
        <v>73.3</v>
      </c>
      <c r="F5" s="5">
        <v>73.8</v>
      </c>
      <c r="G5" s="5">
        <v>74.5</v>
      </c>
      <c r="H5" s="5">
        <v>72</v>
      </c>
      <c r="I5" s="5">
        <v>73.239999999999995</v>
      </c>
      <c r="J5" s="5">
        <v>200</v>
      </c>
      <c r="K5" s="5">
        <v>0.27</v>
      </c>
      <c r="L5" s="7">
        <v>3393400</v>
      </c>
      <c r="M5" s="7">
        <v>248780</v>
      </c>
      <c r="N5" s="7">
        <v>1032900</v>
      </c>
      <c r="O5" s="7">
        <v>78286</v>
      </c>
      <c r="P5" s="7">
        <v>4426300</v>
      </c>
      <c r="Q5" s="7">
        <v>327067</v>
      </c>
      <c r="R5" s="7">
        <v>28027647</v>
      </c>
      <c r="S5" s="7"/>
    </row>
    <row r="6" spans="1:19" x14ac:dyDescent="0.45">
      <c r="A6" s="5">
        <v>5</v>
      </c>
      <c r="B6" s="6">
        <v>46080</v>
      </c>
      <c r="C6" t="s">
        <v>58</v>
      </c>
      <c r="D6" s="5">
        <v>90.5</v>
      </c>
      <c r="E6" s="5">
        <v>91</v>
      </c>
      <c r="F6" s="5">
        <v>92.9</v>
      </c>
      <c r="G6" s="5">
        <v>93.5</v>
      </c>
      <c r="H6" s="5">
        <v>90.3</v>
      </c>
      <c r="I6" s="5">
        <v>91.88</v>
      </c>
      <c r="J6" s="7">
        <v>2400</v>
      </c>
      <c r="K6" s="5">
        <v>2.65</v>
      </c>
      <c r="L6" s="7">
        <v>18705600</v>
      </c>
      <c r="M6" s="7">
        <v>1721107</v>
      </c>
      <c r="N6" s="7">
        <v>800000</v>
      </c>
      <c r="O6" s="7">
        <v>67360</v>
      </c>
      <c r="P6" s="7">
        <v>19505600</v>
      </c>
      <c r="Q6" s="7">
        <v>1788467</v>
      </c>
      <c r="R6" s="7">
        <v>158255812</v>
      </c>
      <c r="S6" s="7"/>
    </row>
    <row r="7" spans="1:19" x14ac:dyDescent="0.45">
      <c r="A7" s="5">
        <v>6</v>
      </c>
      <c r="B7" s="6">
        <v>46080</v>
      </c>
      <c r="C7" t="s">
        <v>60</v>
      </c>
      <c r="D7" s="5">
        <v>106</v>
      </c>
      <c r="E7" s="5">
        <v>106</v>
      </c>
      <c r="F7" s="5">
        <v>107.9</v>
      </c>
      <c r="G7" s="5">
        <v>111.9</v>
      </c>
      <c r="H7" s="5">
        <v>105.5</v>
      </c>
      <c r="I7" s="5">
        <v>107.54</v>
      </c>
      <c r="J7" s="7">
        <v>1900</v>
      </c>
      <c r="K7" s="5">
        <v>1.79</v>
      </c>
      <c r="L7" s="7">
        <v>2827100</v>
      </c>
      <c r="M7" s="7">
        <v>304213</v>
      </c>
      <c r="N7" s="5">
        <v>0</v>
      </c>
      <c r="O7" s="5">
        <v>0</v>
      </c>
      <c r="P7" s="7">
        <v>2827100</v>
      </c>
      <c r="Q7" s="7">
        <v>304213</v>
      </c>
      <c r="R7" s="7">
        <v>260357279</v>
      </c>
      <c r="S7" s="7"/>
    </row>
    <row r="8" spans="1:19" x14ac:dyDescent="0.45">
      <c r="A8" s="5">
        <v>7</v>
      </c>
      <c r="B8" s="6">
        <v>46080</v>
      </c>
      <c r="C8" t="s">
        <v>71</v>
      </c>
      <c r="D8" s="5">
        <v>40.799999999999997</v>
      </c>
      <c r="E8" s="5">
        <v>40.799999999999997</v>
      </c>
      <c r="F8" s="5">
        <v>40</v>
      </c>
      <c r="G8" s="5">
        <v>42.3</v>
      </c>
      <c r="H8" s="5">
        <v>39.799999999999997</v>
      </c>
      <c r="I8" s="5">
        <v>40.78</v>
      </c>
      <c r="J8" s="5">
        <v>-800</v>
      </c>
      <c r="K8" s="5">
        <v>-1.96</v>
      </c>
      <c r="L8" s="7">
        <v>6357900</v>
      </c>
      <c r="M8" s="7">
        <v>259188</v>
      </c>
      <c r="N8" s="5">
        <v>0</v>
      </c>
      <c r="O8" s="5">
        <v>0</v>
      </c>
      <c r="P8" s="7">
        <v>6357900</v>
      </c>
      <c r="Q8" s="7">
        <v>259188</v>
      </c>
      <c r="R8" s="7">
        <v>160000000</v>
      </c>
      <c r="S8" s="7"/>
    </row>
    <row r="9" spans="1:19" x14ac:dyDescent="0.45">
      <c r="A9" s="5">
        <v>8</v>
      </c>
      <c r="B9" s="6">
        <v>46080</v>
      </c>
      <c r="C9" t="s">
        <v>56</v>
      </c>
      <c r="D9" s="5">
        <v>28.4</v>
      </c>
      <c r="E9" s="5">
        <v>28.4</v>
      </c>
      <c r="F9" s="5">
        <v>27.95</v>
      </c>
      <c r="G9" s="5">
        <v>28.4</v>
      </c>
      <c r="H9" s="5">
        <v>27.95</v>
      </c>
      <c r="I9" s="5">
        <v>28.08</v>
      </c>
      <c r="J9" s="5">
        <v>-450</v>
      </c>
      <c r="K9" s="5">
        <v>-1.58</v>
      </c>
      <c r="L9" s="7">
        <v>13120700</v>
      </c>
      <c r="M9" s="7">
        <v>368404</v>
      </c>
      <c r="N9" s="7">
        <v>7953471</v>
      </c>
      <c r="O9" s="7">
        <v>222686</v>
      </c>
      <c r="P9" s="7">
        <v>21074171</v>
      </c>
      <c r="Q9" s="7">
        <v>591089</v>
      </c>
      <c r="R9" s="7">
        <v>139897473</v>
      </c>
      <c r="S9" s="7"/>
    </row>
    <row r="10" spans="1:19" x14ac:dyDescent="0.45">
      <c r="A10" s="5">
        <v>9</v>
      </c>
      <c r="B10" s="6">
        <v>46080</v>
      </c>
      <c r="C10" t="s">
        <v>72</v>
      </c>
      <c r="D10" s="5">
        <v>29.4</v>
      </c>
      <c r="E10" s="5">
        <v>29.35</v>
      </c>
      <c r="F10" s="5">
        <v>28.8</v>
      </c>
      <c r="G10" s="5">
        <v>29.4</v>
      </c>
      <c r="H10" s="5">
        <v>28.8</v>
      </c>
      <c r="I10" s="5">
        <v>29.03</v>
      </c>
      <c r="J10" s="5">
        <v>-600</v>
      </c>
      <c r="K10" s="5">
        <v>-2.04</v>
      </c>
      <c r="L10" s="7">
        <v>47306500</v>
      </c>
      <c r="M10" s="7">
        <v>1372206</v>
      </c>
      <c r="N10" s="7">
        <v>2750000</v>
      </c>
      <c r="O10" s="7">
        <v>80791</v>
      </c>
      <c r="P10" s="7">
        <v>50056500</v>
      </c>
      <c r="Q10" s="7">
        <v>1452997</v>
      </c>
      <c r="R10" s="7">
        <v>221053417</v>
      </c>
      <c r="S10" s="7"/>
    </row>
    <row r="11" spans="1:19" x14ac:dyDescent="0.45">
      <c r="A11" s="5">
        <v>10</v>
      </c>
      <c r="B11" s="6">
        <v>46080</v>
      </c>
      <c r="C11" t="s">
        <v>57</v>
      </c>
      <c r="D11" s="5">
        <v>43.15</v>
      </c>
      <c r="E11" s="5">
        <v>43.5</v>
      </c>
      <c r="F11" s="5">
        <v>43.05</v>
      </c>
      <c r="G11" s="5">
        <v>44.3</v>
      </c>
      <c r="H11" s="5">
        <v>42.75</v>
      </c>
      <c r="I11" s="5">
        <v>43.25</v>
      </c>
      <c r="J11" s="5">
        <v>-100</v>
      </c>
      <c r="K11" s="5">
        <v>-0.23</v>
      </c>
      <c r="L11" s="7">
        <v>1473700</v>
      </c>
      <c r="M11" s="7">
        <v>63793</v>
      </c>
      <c r="N11" s="7">
        <v>36000</v>
      </c>
      <c r="O11" s="7">
        <v>1555</v>
      </c>
      <c r="P11" s="7">
        <v>1509700</v>
      </c>
      <c r="Q11" s="7">
        <v>65348</v>
      </c>
      <c r="R11" s="7">
        <v>128602494</v>
      </c>
      <c r="S11" s="7"/>
    </row>
    <row r="12" spans="1:19" x14ac:dyDescent="0.45">
      <c r="A12" s="5">
        <v>11</v>
      </c>
      <c r="B12" s="6">
        <v>46080</v>
      </c>
      <c r="C12" t="s">
        <v>59</v>
      </c>
      <c r="D12" s="5">
        <v>28.8</v>
      </c>
      <c r="E12" s="5">
        <v>28.75</v>
      </c>
      <c r="F12" s="5">
        <v>28.5</v>
      </c>
      <c r="G12" s="5">
        <v>28.85</v>
      </c>
      <c r="H12" s="5">
        <v>28.5</v>
      </c>
      <c r="I12" s="5">
        <v>28.66</v>
      </c>
      <c r="J12" s="5">
        <v>-300</v>
      </c>
      <c r="K12" s="5">
        <v>-1.04</v>
      </c>
      <c r="L12" s="7">
        <v>14848500</v>
      </c>
      <c r="M12" s="7">
        <v>425291</v>
      </c>
      <c r="N12" s="7">
        <v>4685100</v>
      </c>
      <c r="O12" s="7">
        <v>136076</v>
      </c>
      <c r="P12" s="7">
        <v>19533600</v>
      </c>
      <c r="Q12" s="7">
        <v>561367</v>
      </c>
      <c r="R12" s="7">
        <v>229567497</v>
      </c>
      <c r="S12" s="7"/>
    </row>
    <row r="13" spans="1:19" x14ac:dyDescent="0.45">
      <c r="A13" s="5">
        <v>12</v>
      </c>
      <c r="B13" s="6">
        <v>46080</v>
      </c>
      <c r="C13" t="s">
        <v>73</v>
      </c>
      <c r="D13" s="5">
        <v>80.400000000000006</v>
      </c>
      <c r="E13" s="5">
        <v>80.5</v>
      </c>
      <c r="F13" s="5">
        <v>79</v>
      </c>
      <c r="G13" s="5">
        <v>80.599999999999994</v>
      </c>
      <c r="H13" s="5">
        <v>79</v>
      </c>
      <c r="I13" s="5">
        <v>79.67</v>
      </c>
      <c r="J13" s="7">
        <v>-1400</v>
      </c>
      <c r="K13" s="5">
        <v>-1.74</v>
      </c>
      <c r="L13" s="7">
        <v>5053900</v>
      </c>
      <c r="M13" s="7">
        <v>402550</v>
      </c>
      <c r="N13" s="5">
        <v>0</v>
      </c>
      <c r="O13" s="5">
        <v>0</v>
      </c>
      <c r="P13" s="7">
        <v>5053900</v>
      </c>
      <c r="Q13" s="7">
        <v>402550</v>
      </c>
      <c r="R13" s="7">
        <v>120118862</v>
      </c>
      <c r="S13" s="7"/>
    </row>
    <row r="14" spans="1:19" x14ac:dyDescent="0.45">
      <c r="A14" s="5">
        <v>13</v>
      </c>
      <c r="B14" s="6">
        <v>46080</v>
      </c>
      <c r="C14" t="s">
        <v>67</v>
      </c>
      <c r="D14" s="5">
        <v>93.6</v>
      </c>
      <c r="E14" s="5">
        <v>93.7</v>
      </c>
      <c r="F14" s="5">
        <v>93.1</v>
      </c>
      <c r="G14" s="5">
        <v>93.9</v>
      </c>
      <c r="H14" s="5">
        <v>92.6</v>
      </c>
      <c r="I14" s="5">
        <v>93.12</v>
      </c>
      <c r="J14" s="5">
        <v>-500</v>
      </c>
      <c r="K14" s="5">
        <v>-0.53</v>
      </c>
      <c r="L14" s="7">
        <v>5224300</v>
      </c>
      <c r="M14" s="7">
        <v>486550</v>
      </c>
      <c r="N14" s="7">
        <v>411300</v>
      </c>
      <c r="O14" s="7">
        <v>38335</v>
      </c>
      <c r="P14" s="7">
        <v>5635600</v>
      </c>
      <c r="Q14" s="7">
        <v>524885</v>
      </c>
      <c r="R14" s="7">
        <v>136710231</v>
      </c>
      <c r="S14" s="7"/>
    </row>
    <row r="15" spans="1:19" x14ac:dyDescent="0.45">
      <c r="A15" s="5">
        <v>14</v>
      </c>
      <c r="B15" s="6">
        <v>46080</v>
      </c>
      <c r="C15" t="s">
        <v>74</v>
      </c>
      <c r="D15" s="5">
        <v>57.5</v>
      </c>
      <c r="E15" s="5">
        <v>58.3</v>
      </c>
      <c r="F15" s="5">
        <v>57.8</v>
      </c>
      <c r="G15" s="5">
        <v>61.2</v>
      </c>
      <c r="H15" s="5">
        <v>57.5</v>
      </c>
      <c r="I15" s="5">
        <v>58.95</v>
      </c>
      <c r="J15" s="5">
        <v>300</v>
      </c>
      <c r="K15" s="5">
        <v>0.52</v>
      </c>
      <c r="L15" s="7">
        <v>6852500</v>
      </c>
      <c r="M15" s="7">
        <v>403952</v>
      </c>
      <c r="N15" s="5">
        <v>0</v>
      </c>
      <c r="O15" s="5">
        <v>0</v>
      </c>
      <c r="P15" s="7">
        <v>6852500</v>
      </c>
      <c r="Q15" s="7">
        <v>403952</v>
      </c>
      <c r="R15" s="7">
        <v>73440231</v>
      </c>
      <c r="S15" s="7"/>
    </row>
    <row r="16" spans="1:19" x14ac:dyDescent="0.45">
      <c r="A16" s="5">
        <v>15</v>
      </c>
      <c r="B16" s="6">
        <v>46080</v>
      </c>
      <c r="C16" t="s">
        <v>75</v>
      </c>
      <c r="D16" s="5">
        <v>49.1</v>
      </c>
      <c r="E16" s="5">
        <v>49.1</v>
      </c>
      <c r="F16" s="5">
        <v>48.4</v>
      </c>
      <c r="G16" s="5">
        <v>49.2</v>
      </c>
      <c r="H16" s="5">
        <v>48.35</v>
      </c>
      <c r="I16" s="5">
        <v>48.65</v>
      </c>
      <c r="J16" s="5">
        <v>-700</v>
      </c>
      <c r="K16" s="5">
        <v>-1.43</v>
      </c>
      <c r="L16" s="7">
        <v>1197000</v>
      </c>
      <c r="M16" s="7">
        <v>58226</v>
      </c>
      <c r="N16" s="7">
        <v>125000</v>
      </c>
      <c r="O16" s="7">
        <v>6112</v>
      </c>
      <c r="P16" s="7">
        <v>1322000</v>
      </c>
      <c r="Q16" s="7">
        <v>64337</v>
      </c>
      <c r="R16" s="7">
        <v>62076019</v>
      </c>
      <c r="S16" s="7"/>
    </row>
    <row r="17" spans="1:19" x14ac:dyDescent="0.45">
      <c r="A17" s="5">
        <v>16</v>
      </c>
      <c r="B17" s="6">
        <v>46080</v>
      </c>
      <c r="C17" t="s">
        <v>61</v>
      </c>
      <c r="D17" s="5">
        <v>16.149999999999999</v>
      </c>
      <c r="E17" s="5">
        <v>16.149999999999999</v>
      </c>
      <c r="F17" s="5">
        <v>15.95</v>
      </c>
      <c r="G17" s="5">
        <v>16.149999999999999</v>
      </c>
      <c r="H17" s="5">
        <v>15.85</v>
      </c>
      <c r="I17" s="5">
        <v>15.94</v>
      </c>
      <c r="J17" s="5">
        <v>-200</v>
      </c>
      <c r="K17" s="5">
        <v>-1.24</v>
      </c>
      <c r="L17" s="7">
        <v>38821900</v>
      </c>
      <c r="M17" s="7">
        <v>618727</v>
      </c>
      <c r="N17" s="7">
        <v>25000</v>
      </c>
      <c r="O17" s="5">
        <v>400</v>
      </c>
      <c r="P17" s="7">
        <v>38846900</v>
      </c>
      <c r="Q17" s="7">
        <v>619127</v>
      </c>
      <c r="R17" s="7">
        <v>73269576</v>
      </c>
      <c r="S17" s="7"/>
    </row>
    <row r="18" spans="1:19" x14ac:dyDescent="0.45">
      <c r="A18" s="5">
        <v>17</v>
      </c>
      <c r="B18" s="6">
        <v>46080</v>
      </c>
      <c r="C18" t="s">
        <v>62</v>
      </c>
      <c r="D18" s="5">
        <v>17</v>
      </c>
      <c r="E18" s="5">
        <v>16.95</v>
      </c>
      <c r="F18" s="5">
        <v>16.899999999999999</v>
      </c>
      <c r="G18" s="5">
        <v>17</v>
      </c>
      <c r="H18" s="5">
        <v>16.75</v>
      </c>
      <c r="I18" s="5">
        <v>16.86</v>
      </c>
      <c r="J18" s="5">
        <v>-100</v>
      </c>
      <c r="K18" s="5">
        <v>-0.59</v>
      </c>
      <c r="L18" s="7">
        <v>1992800</v>
      </c>
      <c r="M18" s="7">
        <v>33590</v>
      </c>
      <c r="N18" s="5">
        <v>0</v>
      </c>
      <c r="O18" s="5">
        <v>0</v>
      </c>
      <c r="P18" s="7">
        <v>1992800</v>
      </c>
      <c r="Q18" s="7">
        <v>33590</v>
      </c>
      <c r="R18" s="7">
        <v>48080500</v>
      </c>
      <c r="S18" s="7"/>
    </row>
    <row r="19" spans="1:19" x14ac:dyDescent="0.45">
      <c r="A19" s="5">
        <v>18</v>
      </c>
      <c r="B19" s="6">
        <v>46080</v>
      </c>
      <c r="C19" t="s">
        <v>76</v>
      </c>
      <c r="D19" s="5">
        <v>32.4</v>
      </c>
      <c r="E19" s="5">
        <v>32.5</v>
      </c>
      <c r="F19" s="5">
        <v>32.4</v>
      </c>
      <c r="G19" s="5">
        <v>32.950000000000003</v>
      </c>
      <c r="H19" s="5">
        <v>32.1</v>
      </c>
      <c r="I19" s="5">
        <v>32.58</v>
      </c>
      <c r="J19" s="5" t="s">
        <v>221</v>
      </c>
      <c r="K19" s="5" t="s">
        <v>221</v>
      </c>
      <c r="L19" s="7">
        <v>37296900</v>
      </c>
      <c r="M19" s="7">
        <v>1215217</v>
      </c>
      <c r="N19" s="7">
        <v>62380</v>
      </c>
      <c r="O19" s="7">
        <v>1920</v>
      </c>
      <c r="P19" s="7">
        <v>37359280</v>
      </c>
      <c r="Q19" s="7">
        <v>1217136</v>
      </c>
      <c r="R19" s="7">
        <v>80711567</v>
      </c>
      <c r="S19" s="7"/>
    </row>
    <row r="20" spans="1:19" x14ac:dyDescent="0.45">
      <c r="A20" s="5">
        <v>19</v>
      </c>
      <c r="B20" s="6">
        <v>46080</v>
      </c>
      <c r="C20" t="s">
        <v>64</v>
      </c>
      <c r="D20" s="5">
        <v>67</v>
      </c>
      <c r="E20" s="5">
        <v>66.900000000000006</v>
      </c>
      <c r="F20" s="5">
        <v>65.5</v>
      </c>
      <c r="G20" s="5">
        <v>67.2</v>
      </c>
      <c r="H20" s="5">
        <v>65.5</v>
      </c>
      <c r="I20" s="5">
        <v>66.12</v>
      </c>
      <c r="J20" s="7">
        <v>-1500</v>
      </c>
      <c r="K20" s="5">
        <v>-2.2400000000000002</v>
      </c>
      <c r="L20" s="7">
        <v>7079500</v>
      </c>
      <c r="M20" s="7">
        <v>468180</v>
      </c>
      <c r="N20" s="5">
        <v>0</v>
      </c>
      <c r="O20" s="5">
        <v>0</v>
      </c>
      <c r="P20" s="7">
        <v>7079500</v>
      </c>
      <c r="Q20" s="7">
        <v>468180</v>
      </c>
      <c r="R20" s="7">
        <v>123481629</v>
      </c>
      <c r="S20" s="7"/>
    </row>
    <row r="21" spans="1:19" x14ac:dyDescent="0.45">
      <c r="A21" s="5">
        <v>20</v>
      </c>
      <c r="B21" s="6">
        <v>46080</v>
      </c>
      <c r="C21" t="s">
        <v>66</v>
      </c>
      <c r="D21" s="5">
        <v>36.450000000000003</v>
      </c>
      <c r="E21" s="5">
        <v>36.049999999999997</v>
      </c>
      <c r="F21" s="5">
        <v>36.25</v>
      </c>
      <c r="G21" s="5">
        <v>36.4</v>
      </c>
      <c r="H21" s="5">
        <v>35.85</v>
      </c>
      <c r="I21" s="5">
        <v>36.090000000000003</v>
      </c>
      <c r="J21" s="5">
        <v>-200</v>
      </c>
      <c r="K21" s="5">
        <v>-0.55000000000000004</v>
      </c>
      <c r="L21" s="7">
        <v>7958700</v>
      </c>
      <c r="M21" s="7">
        <v>287267</v>
      </c>
      <c r="N21" s="7">
        <v>13339500</v>
      </c>
      <c r="O21" s="7">
        <v>489545</v>
      </c>
      <c r="P21" s="7">
        <v>21298200</v>
      </c>
      <c r="Q21" s="7">
        <v>776812</v>
      </c>
      <c r="R21" s="7">
        <v>256876215</v>
      </c>
      <c r="S21" s="7"/>
    </row>
    <row r="22" spans="1:19" x14ac:dyDescent="0.45">
      <c r="A22" s="5">
        <v>21</v>
      </c>
      <c r="B22" s="6">
        <v>46080</v>
      </c>
      <c r="C22" t="s">
        <v>68</v>
      </c>
      <c r="D22" s="5">
        <v>18.350000000000001</v>
      </c>
      <c r="E22" s="5">
        <v>18.45</v>
      </c>
      <c r="F22" s="5">
        <v>18.399999999999999</v>
      </c>
      <c r="G22" s="5">
        <v>18.7</v>
      </c>
      <c r="H22" s="5">
        <v>18.25</v>
      </c>
      <c r="I22" s="5">
        <v>18.48</v>
      </c>
      <c r="J22" s="5">
        <v>50</v>
      </c>
      <c r="K22" s="5">
        <v>0.27</v>
      </c>
      <c r="L22" s="7">
        <v>17459800</v>
      </c>
      <c r="M22" s="7">
        <v>322709</v>
      </c>
      <c r="N22" s="7">
        <v>800000</v>
      </c>
      <c r="O22" s="7">
        <v>14826</v>
      </c>
      <c r="P22" s="7">
        <v>18259800</v>
      </c>
      <c r="Q22" s="7">
        <v>337535</v>
      </c>
      <c r="R22" s="7">
        <v>51042462</v>
      </c>
      <c r="S22" s="7"/>
    </row>
    <row r="23" spans="1:19" x14ac:dyDescent="0.45">
      <c r="A23" s="5">
        <v>22</v>
      </c>
      <c r="B23" s="6">
        <v>46080</v>
      </c>
      <c r="C23" t="s">
        <v>55</v>
      </c>
      <c r="D23" s="5">
        <v>65.400000000000006</v>
      </c>
      <c r="E23" s="5">
        <v>65.5</v>
      </c>
      <c r="F23" s="5">
        <v>64.900000000000006</v>
      </c>
      <c r="G23" s="5">
        <v>66.400000000000006</v>
      </c>
      <c r="H23" s="5">
        <v>64.8</v>
      </c>
      <c r="I23" s="5">
        <v>65.19</v>
      </c>
      <c r="J23" s="5">
        <v>-500</v>
      </c>
      <c r="K23" s="5">
        <v>-0.76</v>
      </c>
      <c r="L23" s="7">
        <v>8831200</v>
      </c>
      <c r="M23" s="7">
        <v>575608</v>
      </c>
      <c r="N23" s="7">
        <v>107000</v>
      </c>
      <c r="O23" s="7">
        <v>6614</v>
      </c>
      <c r="P23" s="7">
        <v>8938200</v>
      </c>
      <c r="Q23" s="7">
        <v>582222</v>
      </c>
      <c r="R23" s="7">
        <v>542283314</v>
      </c>
      <c r="S23" s="7"/>
    </row>
    <row r="24" spans="1:19" x14ac:dyDescent="0.45">
      <c r="A24" s="5">
        <v>23</v>
      </c>
      <c r="B24" s="6">
        <v>46080</v>
      </c>
      <c r="C24" t="s">
        <v>52</v>
      </c>
      <c r="D24" s="5">
        <v>107.6</v>
      </c>
      <c r="E24" s="5">
        <v>108</v>
      </c>
      <c r="F24" s="5">
        <v>108</v>
      </c>
      <c r="G24" s="5">
        <v>109.5</v>
      </c>
      <c r="H24" s="5">
        <v>104.6</v>
      </c>
      <c r="I24" s="5">
        <v>107.03</v>
      </c>
      <c r="J24" s="5">
        <v>400</v>
      </c>
      <c r="K24" s="5">
        <v>0.37</v>
      </c>
      <c r="L24" s="7">
        <v>4915000</v>
      </c>
      <c r="M24" s="7">
        <v>526590</v>
      </c>
      <c r="N24" s="7">
        <v>1472500</v>
      </c>
      <c r="O24" s="7">
        <v>160032</v>
      </c>
      <c r="P24" s="7">
        <v>6387500</v>
      </c>
      <c r="Q24" s="7">
        <v>686622</v>
      </c>
      <c r="R24" s="7">
        <v>443600496</v>
      </c>
      <c r="S24" s="7"/>
    </row>
    <row r="25" spans="1:19" x14ac:dyDescent="0.45">
      <c r="A25" s="5">
        <v>24</v>
      </c>
      <c r="B25" s="6">
        <v>46080</v>
      </c>
      <c r="C25" t="s">
        <v>69</v>
      </c>
      <c r="D25" s="5">
        <v>17.399999999999999</v>
      </c>
      <c r="E25" s="5">
        <v>17.399999999999999</v>
      </c>
      <c r="F25" s="5">
        <v>17.3</v>
      </c>
      <c r="G25" s="5">
        <v>17.45</v>
      </c>
      <c r="H25" s="5">
        <v>17.3</v>
      </c>
      <c r="I25" s="5">
        <v>17.350000000000001</v>
      </c>
      <c r="J25" s="5">
        <v>-100</v>
      </c>
      <c r="K25" s="5">
        <v>-0.56999999999999995</v>
      </c>
      <c r="L25" s="7">
        <v>2778500</v>
      </c>
      <c r="M25" s="7">
        <v>48203</v>
      </c>
      <c r="N25" s="5">
        <v>0</v>
      </c>
      <c r="O25" s="5">
        <v>0</v>
      </c>
      <c r="P25" s="7">
        <v>2778500</v>
      </c>
      <c r="Q25" s="7">
        <v>48203</v>
      </c>
      <c r="R25" s="7">
        <v>58889299</v>
      </c>
      <c r="S25" s="7"/>
    </row>
    <row r="26" spans="1:19" x14ac:dyDescent="0.45">
      <c r="A26" s="5">
        <v>25</v>
      </c>
      <c r="B26" s="6">
        <v>46080</v>
      </c>
      <c r="C26" t="s">
        <v>49</v>
      </c>
      <c r="D26" s="5">
        <v>168.9</v>
      </c>
      <c r="E26" s="5">
        <v>169.1</v>
      </c>
      <c r="F26" s="5">
        <v>172</v>
      </c>
      <c r="G26" s="5">
        <v>178.5</v>
      </c>
      <c r="H26" s="5">
        <v>168</v>
      </c>
      <c r="I26" s="5">
        <v>173.39</v>
      </c>
      <c r="J26" s="7">
        <v>3100</v>
      </c>
      <c r="K26" s="5">
        <v>1.84</v>
      </c>
      <c r="L26" s="7">
        <v>3624400</v>
      </c>
      <c r="M26" s="7">
        <v>628942</v>
      </c>
      <c r="N26" s="7">
        <v>800000</v>
      </c>
      <c r="O26" s="7">
        <v>137600</v>
      </c>
      <c r="P26" s="7">
        <v>4424400</v>
      </c>
      <c r="Q26" s="7">
        <v>766542</v>
      </c>
      <c r="R26" s="7">
        <v>1330160606</v>
      </c>
      <c r="S26" s="7"/>
    </row>
    <row r="27" spans="1:19" x14ac:dyDescent="0.45">
      <c r="A27" s="5">
        <v>26</v>
      </c>
      <c r="B27" s="6">
        <v>46080</v>
      </c>
      <c r="C27" t="s">
        <v>77</v>
      </c>
      <c r="D27" s="5">
        <v>178.5</v>
      </c>
      <c r="E27" s="5">
        <v>177.8</v>
      </c>
      <c r="F27" s="5">
        <v>175.8</v>
      </c>
      <c r="G27" s="5">
        <v>178.5</v>
      </c>
      <c r="H27" s="5">
        <v>175.2</v>
      </c>
      <c r="I27" s="5">
        <v>176.5</v>
      </c>
      <c r="J27" s="7">
        <v>-2700</v>
      </c>
      <c r="K27" s="5">
        <v>-1.51</v>
      </c>
      <c r="L27" s="7">
        <v>1133900</v>
      </c>
      <c r="M27" s="7">
        <v>200153</v>
      </c>
      <c r="N27" s="5">
        <v>0</v>
      </c>
      <c r="O27" s="5">
        <v>0</v>
      </c>
      <c r="P27" s="7">
        <v>1133900</v>
      </c>
      <c r="Q27" s="7">
        <v>200153</v>
      </c>
      <c r="R27" s="7">
        <v>104005273</v>
      </c>
      <c r="S27" s="7"/>
    </row>
    <row r="28" spans="1:19" x14ac:dyDescent="0.45">
      <c r="A28" s="5">
        <v>27</v>
      </c>
      <c r="B28" s="6">
        <v>46080</v>
      </c>
      <c r="C28" t="s">
        <v>65</v>
      </c>
      <c r="D28" s="5">
        <v>70.599999999999994</v>
      </c>
      <c r="E28" s="5">
        <v>70.2</v>
      </c>
      <c r="F28" s="5">
        <v>68.2</v>
      </c>
      <c r="G28" s="5">
        <v>70.599999999999994</v>
      </c>
      <c r="H28" s="5">
        <v>68</v>
      </c>
      <c r="I28" s="5">
        <v>68.92</v>
      </c>
      <c r="J28" s="7">
        <v>-2400</v>
      </c>
      <c r="K28" s="5">
        <v>-3.4</v>
      </c>
      <c r="L28" s="7">
        <v>13371400</v>
      </c>
      <c r="M28" s="7">
        <v>921102</v>
      </c>
      <c r="N28" s="7">
        <v>20000</v>
      </c>
      <c r="O28" s="7">
        <v>1350</v>
      </c>
      <c r="P28" s="7">
        <v>13391400</v>
      </c>
      <c r="Q28" s="7">
        <v>922452</v>
      </c>
      <c r="R28" s="7">
        <v>142534961</v>
      </c>
      <c r="S28" s="7"/>
    </row>
    <row r="29" spans="1:19" x14ac:dyDescent="0.45">
      <c r="A29" s="5">
        <v>28</v>
      </c>
      <c r="B29" s="6">
        <v>46080</v>
      </c>
      <c r="C29" t="s">
        <v>63</v>
      </c>
      <c r="D29" s="5">
        <v>28.9</v>
      </c>
      <c r="E29" s="5">
        <v>29.05</v>
      </c>
      <c r="F29" s="5">
        <v>28.95</v>
      </c>
      <c r="G29" s="5">
        <v>29.45</v>
      </c>
      <c r="H29" s="5">
        <v>28.75</v>
      </c>
      <c r="I29" s="5">
        <v>29.1</v>
      </c>
      <c r="J29" s="5">
        <v>50</v>
      </c>
      <c r="K29" s="5">
        <v>0.17</v>
      </c>
      <c r="L29" s="7">
        <v>18002900</v>
      </c>
      <c r="M29" s="7">
        <v>523346</v>
      </c>
      <c r="N29" s="5">
        <v>0</v>
      </c>
      <c r="O29" s="5">
        <v>0</v>
      </c>
      <c r="P29" s="7">
        <v>18002900</v>
      </c>
      <c r="Q29" s="7">
        <v>523346</v>
      </c>
      <c r="R29" s="7">
        <v>229687088</v>
      </c>
      <c r="S29" s="7"/>
    </row>
    <row r="30" spans="1:19" x14ac:dyDescent="0.45">
      <c r="A30" s="5">
        <v>29</v>
      </c>
      <c r="B30" s="6">
        <v>46080</v>
      </c>
      <c r="C30" t="s">
        <v>78</v>
      </c>
      <c r="D30" s="5">
        <v>81.7</v>
      </c>
      <c r="E30" s="5">
        <v>82.5</v>
      </c>
      <c r="F30" s="5">
        <v>83.5</v>
      </c>
      <c r="G30" s="5">
        <v>84.1</v>
      </c>
      <c r="H30" s="5">
        <v>80.5</v>
      </c>
      <c r="I30" s="5">
        <v>82.44</v>
      </c>
      <c r="J30" s="7">
        <v>1800</v>
      </c>
      <c r="K30" s="5">
        <v>2.2000000000000002</v>
      </c>
      <c r="L30" s="7">
        <v>223600</v>
      </c>
      <c r="M30" s="7">
        <v>18504</v>
      </c>
      <c r="N30" s="5">
        <v>0</v>
      </c>
      <c r="O30" s="5">
        <v>0</v>
      </c>
      <c r="P30" s="7">
        <v>223600</v>
      </c>
      <c r="Q30" s="7">
        <v>18504</v>
      </c>
      <c r="R30" s="7">
        <v>149740581</v>
      </c>
      <c r="S30" s="7"/>
    </row>
    <row r="31" spans="1:19" x14ac:dyDescent="0.45">
      <c r="A31" s="5">
        <v>30</v>
      </c>
      <c r="B31" s="6">
        <v>46080</v>
      </c>
      <c r="C31" t="s">
        <v>79</v>
      </c>
      <c r="D31" s="5">
        <v>29.75</v>
      </c>
      <c r="E31" s="5">
        <v>29.8</v>
      </c>
      <c r="F31" s="5">
        <v>29.05</v>
      </c>
      <c r="G31" s="5">
        <v>29.8</v>
      </c>
      <c r="H31" s="5">
        <v>29.05</v>
      </c>
      <c r="I31" s="5">
        <v>29.27</v>
      </c>
      <c r="J31" s="5">
        <v>-700</v>
      </c>
      <c r="K31" s="5">
        <v>-2.35</v>
      </c>
      <c r="L31" s="7">
        <v>3100400</v>
      </c>
      <c r="M31" s="7">
        <v>90661</v>
      </c>
      <c r="N31" s="7">
        <v>20000</v>
      </c>
      <c r="O31" s="5">
        <v>591</v>
      </c>
      <c r="P31" s="7">
        <v>3120400</v>
      </c>
      <c r="Q31" s="7">
        <v>91252</v>
      </c>
      <c r="R31" s="7">
        <v>66010850</v>
      </c>
      <c r="S31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54F5-542D-41F2-AA0F-AF2746E845A9}">
  <dimension ref="A1:I31"/>
  <sheetViews>
    <sheetView workbookViewId="0">
      <selection activeCell="G2" sqref="G2"/>
    </sheetView>
  </sheetViews>
  <sheetFormatPr defaultRowHeight="14.25" x14ac:dyDescent="0.45"/>
  <cols>
    <col min="3" max="3" width="14.53125" customWidth="1"/>
    <col min="4" max="4" width="13.86328125" customWidth="1"/>
    <col min="5" max="5" width="20.6640625" customWidth="1"/>
    <col min="6" max="6" width="19.73046875" customWidth="1"/>
    <col min="7" max="7" width="11.9296875" customWidth="1"/>
    <col min="8" max="8" width="12.53125" customWidth="1"/>
    <col min="9" max="9" width="14.06640625" customWidth="1"/>
  </cols>
  <sheetData>
    <row r="1" spans="1:9" x14ac:dyDescent="0.45">
      <c r="A1" s="30" t="s">
        <v>0</v>
      </c>
      <c r="B1" s="30" t="s">
        <v>115</v>
      </c>
      <c r="C1" s="30" t="s">
        <v>19</v>
      </c>
      <c r="D1" s="30" t="s">
        <v>116</v>
      </c>
      <c r="E1" s="30" t="s">
        <v>117</v>
      </c>
      <c r="F1" s="30" t="s">
        <v>16</v>
      </c>
      <c r="G1" s="30" t="s">
        <v>118</v>
      </c>
      <c r="H1" s="30" t="s">
        <v>119</v>
      </c>
      <c r="I1" s="30" t="s">
        <v>120</v>
      </c>
    </row>
    <row r="2" spans="1:9" x14ac:dyDescent="0.45">
      <c r="A2" s="5">
        <v>1</v>
      </c>
      <c r="B2" t="s">
        <v>58</v>
      </c>
      <c r="C2" s="7">
        <v>92900</v>
      </c>
      <c r="D2" s="5" t="s">
        <v>230</v>
      </c>
      <c r="E2" s="7">
        <v>1703507121</v>
      </c>
      <c r="F2" s="7">
        <v>118725092376099</v>
      </c>
      <c r="G2" s="5">
        <v>8.9718999999999998</v>
      </c>
      <c r="H2" s="5">
        <v>0.23780000000000001</v>
      </c>
      <c r="I2" s="5">
        <v>4.9211</v>
      </c>
    </row>
    <row r="3" spans="1:9" x14ac:dyDescent="0.45">
      <c r="A3" s="5">
        <v>2</v>
      </c>
      <c r="B3" t="s">
        <v>49</v>
      </c>
      <c r="C3" s="7">
        <v>172000</v>
      </c>
      <c r="D3" s="5" t="s">
        <v>231</v>
      </c>
      <c r="E3" s="7">
        <v>7706031024</v>
      </c>
      <c r="F3" s="7">
        <v>142139899926367</v>
      </c>
      <c r="G3" s="5">
        <v>10.741300000000001</v>
      </c>
      <c r="H3" s="5">
        <v>0.1976</v>
      </c>
      <c r="I3" s="5">
        <v>4.0907999999999998</v>
      </c>
    </row>
    <row r="4" spans="1:9" x14ac:dyDescent="0.45">
      <c r="A4" s="5">
        <v>3</v>
      </c>
      <c r="B4" t="s">
        <v>60</v>
      </c>
      <c r="C4" s="7">
        <v>107900</v>
      </c>
      <c r="D4" s="5" t="s">
        <v>232</v>
      </c>
      <c r="E4" s="7">
        <v>2412949756</v>
      </c>
      <c r="F4" s="7">
        <v>13017863933620</v>
      </c>
      <c r="G4" s="5">
        <v>0.98370000000000002</v>
      </c>
      <c r="H4" s="5">
        <v>1.7600000000000001E-2</v>
      </c>
      <c r="I4" s="5">
        <v>0.36449999999999999</v>
      </c>
    </row>
    <row r="5" spans="1:9" x14ac:dyDescent="0.45">
      <c r="A5" s="5">
        <v>4</v>
      </c>
      <c r="B5" t="s">
        <v>48</v>
      </c>
      <c r="C5" s="7">
        <v>24550</v>
      </c>
      <c r="D5" s="5" t="s">
        <v>222</v>
      </c>
      <c r="E5" s="7">
        <v>5136656599</v>
      </c>
      <c r="F5" s="7">
        <v>48513823582942</v>
      </c>
      <c r="G5" s="5">
        <v>3.6661000000000001</v>
      </c>
      <c r="H5" s="5">
        <v>1.4999999999999999E-2</v>
      </c>
      <c r="I5" s="5">
        <v>0.31109999999999999</v>
      </c>
    </row>
    <row r="6" spans="1:9" x14ac:dyDescent="0.45">
      <c r="A6" s="5">
        <v>5</v>
      </c>
      <c r="B6" t="s">
        <v>78</v>
      </c>
      <c r="C6" s="7">
        <v>83500</v>
      </c>
      <c r="D6" s="5" t="s">
        <v>233</v>
      </c>
      <c r="E6" s="7">
        <v>1793300377</v>
      </c>
      <c r="F6" s="7">
        <v>8479060426277</v>
      </c>
      <c r="G6" s="5">
        <v>0.64070000000000005</v>
      </c>
      <c r="H6" s="5">
        <v>1.41E-2</v>
      </c>
      <c r="I6" s="5">
        <v>0.29170000000000001</v>
      </c>
    </row>
    <row r="7" spans="1:9" x14ac:dyDescent="0.45">
      <c r="A7" s="5">
        <v>6</v>
      </c>
      <c r="B7" t="s">
        <v>52</v>
      </c>
      <c r="C7" s="7">
        <v>108000</v>
      </c>
      <c r="D7" s="5" t="s">
        <v>234</v>
      </c>
      <c r="E7" s="7">
        <v>4107412004</v>
      </c>
      <c r="F7" s="7">
        <v>50237756220924</v>
      </c>
      <c r="G7" s="5">
        <v>3.7964000000000002</v>
      </c>
      <c r="H7" s="5">
        <v>1.4E-2</v>
      </c>
      <c r="I7" s="5">
        <v>0.29070000000000001</v>
      </c>
    </row>
    <row r="8" spans="1:9" x14ac:dyDescent="0.45">
      <c r="A8" s="5">
        <v>7</v>
      </c>
      <c r="B8" t="s">
        <v>63</v>
      </c>
      <c r="C8" s="7">
        <v>28950</v>
      </c>
      <c r="D8" s="5" t="s">
        <v>224</v>
      </c>
      <c r="E8" s="7">
        <v>7933923601</v>
      </c>
      <c r="F8" s="7">
        <v>62373825684885</v>
      </c>
      <c r="G8" s="5">
        <v>4.7134999999999998</v>
      </c>
      <c r="H8" s="5">
        <v>8.0000000000000002E-3</v>
      </c>
      <c r="I8" s="5">
        <v>0.16589999999999999</v>
      </c>
    </row>
    <row r="9" spans="1:9" x14ac:dyDescent="0.45">
      <c r="A9" s="5">
        <v>8</v>
      </c>
      <c r="B9" t="s">
        <v>70</v>
      </c>
      <c r="C9" s="7">
        <v>73800</v>
      </c>
      <c r="D9" s="5" t="s">
        <v>235</v>
      </c>
      <c r="E9" s="7">
        <v>379778413</v>
      </c>
      <c r="F9" s="7">
        <v>16816588127640</v>
      </c>
      <c r="G9" s="5">
        <v>1.2707999999999999</v>
      </c>
      <c r="H9" s="5">
        <v>3.3999999999999998E-3</v>
      </c>
      <c r="I9" s="5">
        <v>7.0999999999999994E-2</v>
      </c>
    </row>
    <row r="10" spans="1:9" x14ac:dyDescent="0.45">
      <c r="A10" s="5">
        <v>9</v>
      </c>
      <c r="B10" t="s">
        <v>74</v>
      </c>
      <c r="C10" s="7">
        <v>57800</v>
      </c>
      <c r="D10" s="5" t="s">
        <v>211</v>
      </c>
      <c r="E10" s="7">
        <v>1270592235</v>
      </c>
      <c r="F10" s="7">
        <v>7344023118300</v>
      </c>
      <c r="G10" s="5">
        <v>0.55489999999999995</v>
      </c>
      <c r="H10" s="5">
        <v>2.8999999999999998E-3</v>
      </c>
      <c r="I10" s="5">
        <v>5.9700000000000003E-2</v>
      </c>
    </row>
    <row r="11" spans="1:9" x14ac:dyDescent="0.45">
      <c r="A11" s="5">
        <v>10</v>
      </c>
      <c r="B11" t="s">
        <v>68</v>
      </c>
      <c r="C11" s="7">
        <v>18400</v>
      </c>
      <c r="D11" s="5" t="s">
        <v>236</v>
      </c>
      <c r="E11" s="7">
        <v>2774046873</v>
      </c>
      <c r="F11" s="7">
        <v>12706000180964</v>
      </c>
      <c r="G11" s="5">
        <v>0.96009999999999995</v>
      </c>
      <c r="H11" s="5">
        <v>2.5999999999999999E-3</v>
      </c>
      <c r="I11" s="5">
        <v>5.3699999999999998E-2</v>
      </c>
    </row>
    <row r="12" spans="1:9" x14ac:dyDescent="0.45">
      <c r="A12" s="5">
        <v>11</v>
      </c>
      <c r="B12" t="s">
        <v>76</v>
      </c>
      <c r="C12" s="7">
        <v>32400</v>
      </c>
      <c r="D12" s="5" t="s">
        <v>223</v>
      </c>
      <c r="E12" s="7">
        <v>2491097752</v>
      </c>
      <c r="F12" s="7">
        <v>25571038709152</v>
      </c>
      <c r="G12" s="5">
        <v>1.9322999999999999</v>
      </c>
      <c r="H12" s="5">
        <v>0</v>
      </c>
      <c r="I12" s="5">
        <v>0</v>
      </c>
    </row>
    <row r="13" spans="1:9" x14ac:dyDescent="0.45">
      <c r="A13" s="5">
        <v>12</v>
      </c>
      <c r="B13" t="s">
        <v>62</v>
      </c>
      <c r="C13" s="7">
        <v>16900</v>
      </c>
      <c r="D13" s="5" t="s">
        <v>237</v>
      </c>
      <c r="E13" s="7">
        <v>2845000000</v>
      </c>
      <c r="F13" s="7">
        <v>10880617150000</v>
      </c>
      <c r="G13" s="5">
        <v>0.82220000000000004</v>
      </c>
      <c r="H13" s="5">
        <v>-4.8999999999999998E-3</v>
      </c>
      <c r="I13" s="5">
        <v>-0.1004</v>
      </c>
    </row>
    <row r="14" spans="1:9" x14ac:dyDescent="0.45">
      <c r="A14" s="5">
        <v>13</v>
      </c>
      <c r="B14" t="s">
        <v>51</v>
      </c>
      <c r="C14" s="7">
        <v>47900</v>
      </c>
      <c r="D14" s="5" t="s">
        <v>238</v>
      </c>
      <c r="E14" s="7">
        <v>7021361917</v>
      </c>
      <c r="F14" s="7">
        <v>6088795861363</v>
      </c>
      <c r="G14" s="5">
        <v>0.46010000000000001</v>
      </c>
      <c r="H14" s="5">
        <v>-5.1999999999999998E-3</v>
      </c>
      <c r="I14" s="5">
        <v>-0.1086</v>
      </c>
    </row>
    <row r="15" spans="1:9" x14ac:dyDescent="0.45">
      <c r="A15" s="5">
        <v>14</v>
      </c>
      <c r="B15" t="s">
        <v>75</v>
      </c>
      <c r="C15" s="7">
        <v>48400</v>
      </c>
      <c r="D15" s="5" t="s">
        <v>239</v>
      </c>
      <c r="E15" s="7">
        <v>1282562372</v>
      </c>
      <c r="F15" s="7">
        <v>6828362068528</v>
      </c>
      <c r="G15" s="5">
        <v>0.51600000000000001</v>
      </c>
      <c r="H15" s="5">
        <v>-7.4000000000000003E-3</v>
      </c>
      <c r="I15" s="5">
        <v>-0.1527</v>
      </c>
    </row>
    <row r="16" spans="1:9" x14ac:dyDescent="0.45">
      <c r="A16" s="5">
        <v>15</v>
      </c>
      <c r="B16" t="s">
        <v>69</v>
      </c>
      <c r="C16" s="7">
        <v>17300</v>
      </c>
      <c r="D16" s="5" t="s">
        <v>240</v>
      </c>
      <c r="E16" s="7">
        <v>3404005710</v>
      </c>
      <c r="F16" s="7">
        <v>17324642808971</v>
      </c>
      <c r="G16" s="5">
        <v>1.3091999999999999</v>
      </c>
      <c r="H16" s="5">
        <v>-7.4999999999999997E-3</v>
      </c>
      <c r="I16" s="5">
        <v>-0.1545</v>
      </c>
    </row>
    <row r="17" spans="1:9" x14ac:dyDescent="0.45">
      <c r="A17" s="5">
        <v>16</v>
      </c>
      <c r="B17" t="s">
        <v>71</v>
      </c>
      <c r="C17" s="7">
        <v>40000</v>
      </c>
      <c r="D17" s="5" t="s">
        <v>241</v>
      </c>
      <c r="E17" s="7">
        <v>4000000000</v>
      </c>
      <c r="F17" s="7">
        <v>6400000000000</v>
      </c>
      <c r="G17" s="5">
        <v>0.48359999999999997</v>
      </c>
      <c r="H17" s="5">
        <v>-9.4999999999999998E-3</v>
      </c>
      <c r="I17" s="5">
        <v>-0.19620000000000001</v>
      </c>
    </row>
    <row r="18" spans="1:9" x14ac:dyDescent="0.45">
      <c r="A18" s="5">
        <v>17</v>
      </c>
      <c r="B18" t="s">
        <v>57</v>
      </c>
      <c r="C18" s="7">
        <v>43050</v>
      </c>
      <c r="D18" s="5" t="s">
        <v>242</v>
      </c>
      <c r="E18" s="7">
        <v>2987282100</v>
      </c>
      <c r="F18" s="7">
        <v>55295214519318</v>
      </c>
      <c r="G18" s="5">
        <v>4.1784999999999997</v>
      </c>
      <c r="H18" s="5">
        <v>-9.5999999999999992E-3</v>
      </c>
      <c r="I18" s="5">
        <v>-0.19889999999999999</v>
      </c>
    </row>
    <row r="19" spans="1:9" x14ac:dyDescent="0.45">
      <c r="A19" s="5">
        <v>18</v>
      </c>
      <c r="B19" t="s">
        <v>54</v>
      </c>
      <c r="C19" s="7">
        <v>38250</v>
      </c>
      <c r="D19" s="5" t="s">
        <v>243</v>
      </c>
      <c r="E19" s="7">
        <v>7766944637</v>
      </c>
      <c r="F19" s="7">
        <v>20169143581277</v>
      </c>
      <c r="G19" s="5">
        <v>1.5241</v>
      </c>
      <c r="H19" s="5">
        <v>-9.9000000000000008E-3</v>
      </c>
      <c r="I19" s="5">
        <v>-0.20499999999999999</v>
      </c>
    </row>
    <row r="20" spans="1:9" x14ac:dyDescent="0.45">
      <c r="A20" s="5">
        <v>19</v>
      </c>
      <c r="B20" t="s">
        <v>55</v>
      </c>
      <c r="C20" s="7">
        <v>64900</v>
      </c>
      <c r="D20" s="5" t="s">
        <v>244</v>
      </c>
      <c r="E20" s="7">
        <v>8355675094</v>
      </c>
      <c r="F20" s="7">
        <v>26998117050919</v>
      </c>
      <c r="G20" s="5">
        <v>2.0402</v>
      </c>
      <c r="H20" s="5">
        <v>-1.55E-2</v>
      </c>
      <c r="I20" s="5">
        <v>-0.32090000000000002</v>
      </c>
    </row>
    <row r="21" spans="1:9" x14ac:dyDescent="0.45">
      <c r="A21" s="5">
        <v>20</v>
      </c>
      <c r="B21" t="s">
        <v>61</v>
      </c>
      <c r="C21" s="7">
        <v>15950</v>
      </c>
      <c r="D21" s="5" t="s">
        <v>245</v>
      </c>
      <c r="E21" s="7">
        <v>4593703838</v>
      </c>
      <c r="F21" s="7">
        <v>24871357646555</v>
      </c>
      <c r="G21" s="5">
        <v>1.8794999999999999</v>
      </c>
      <c r="H21" s="5">
        <v>-2.3300000000000001E-2</v>
      </c>
      <c r="I21" s="5">
        <v>-0.4824</v>
      </c>
    </row>
    <row r="22" spans="1:9" x14ac:dyDescent="0.45">
      <c r="A22" s="5">
        <v>21</v>
      </c>
      <c r="B22" t="s">
        <v>66</v>
      </c>
      <c r="C22" s="7">
        <v>36250</v>
      </c>
      <c r="D22" s="5" t="s">
        <v>246</v>
      </c>
      <c r="E22" s="7">
        <v>7086240414</v>
      </c>
      <c r="F22" s="7">
        <v>63944196201817</v>
      </c>
      <c r="G22" s="5">
        <v>4.8320999999999996</v>
      </c>
      <c r="H22" s="5">
        <v>-2.6599999999999999E-2</v>
      </c>
      <c r="I22" s="5">
        <v>-0.55010000000000003</v>
      </c>
    </row>
    <row r="23" spans="1:9" x14ac:dyDescent="0.45">
      <c r="A23" s="5">
        <v>22</v>
      </c>
      <c r="B23" t="s">
        <v>59</v>
      </c>
      <c r="C23" s="7">
        <v>28500</v>
      </c>
      <c r="D23" s="5" t="s">
        <v>247</v>
      </c>
      <c r="E23" s="7">
        <v>8054999909</v>
      </c>
      <c r="F23" s="7">
        <v>51951124663091</v>
      </c>
      <c r="G23" s="5">
        <v>3.9258000000000002</v>
      </c>
      <c r="H23" s="5">
        <v>-4.0800000000000003E-2</v>
      </c>
      <c r="I23" s="5">
        <v>-0.84509999999999996</v>
      </c>
    </row>
    <row r="24" spans="1:9" x14ac:dyDescent="0.45">
      <c r="A24" s="5">
        <v>23</v>
      </c>
      <c r="B24" t="s">
        <v>67</v>
      </c>
      <c r="C24" s="7">
        <v>93100</v>
      </c>
      <c r="D24" s="5" t="s">
        <v>248</v>
      </c>
      <c r="E24" s="7">
        <v>1468456763</v>
      </c>
      <c r="F24" s="7">
        <v>102534993476475</v>
      </c>
      <c r="G24" s="5">
        <v>7.7484000000000002</v>
      </c>
      <c r="H24" s="5">
        <v>-4.1099999999999998E-2</v>
      </c>
      <c r="I24" s="5">
        <v>-0.85</v>
      </c>
    </row>
    <row r="25" spans="1:9" x14ac:dyDescent="0.45">
      <c r="A25" s="5">
        <v>24</v>
      </c>
      <c r="B25" t="s">
        <v>79</v>
      </c>
      <c r="C25" s="7">
        <v>29050</v>
      </c>
      <c r="D25" s="5" t="s">
        <v>249</v>
      </c>
      <c r="E25" s="7">
        <v>2272318410</v>
      </c>
      <c r="F25" s="7">
        <v>26404339924200</v>
      </c>
      <c r="G25" s="5">
        <v>1.9953000000000001</v>
      </c>
      <c r="H25" s="5">
        <v>-4.6899999999999997E-2</v>
      </c>
      <c r="I25" s="5">
        <v>-0.97050000000000003</v>
      </c>
    </row>
    <row r="26" spans="1:9" x14ac:dyDescent="0.45">
      <c r="A26" s="5">
        <v>25</v>
      </c>
      <c r="B26" t="s">
        <v>77</v>
      </c>
      <c r="C26" s="7">
        <v>175800</v>
      </c>
      <c r="D26" s="5" t="s">
        <v>250</v>
      </c>
      <c r="E26" s="7">
        <v>591611334</v>
      </c>
      <c r="F26" s="7">
        <v>46802372632740</v>
      </c>
      <c r="G26" s="5">
        <v>3.5367999999999999</v>
      </c>
      <c r="H26" s="5">
        <v>-5.3400000000000003E-2</v>
      </c>
      <c r="I26" s="5">
        <v>-1.1053999999999999</v>
      </c>
    </row>
    <row r="27" spans="1:9" x14ac:dyDescent="0.45">
      <c r="A27" s="5">
        <v>26</v>
      </c>
      <c r="B27" t="s">
        <v>56</v>
      </c>
      <c r="C27" s="7">
        <v>27950</v>
      </c>
      <c r="D27" s="5" t="s">
        <v>227</v>
      </c>
      <c r="E27" s="7">
        <v>5005276323</v>
      </c>
      <c r="F27" s="7">
        <v>50654077106340</v>
      </c>
      <c r="G27" s="5">
        <v>3.8277999999999999</v>
      </c>
      <c r="H27" s="5">
        <v>-6.0499999999999998E-2</v>
      </c>
      <c r="I27" s="5">
        <v>-1.2518</v>
      </c>
    </row>
    <row r="28" spans="1:9" x14ac:dyDescent="0.45">
      <c r="A28" s="5">
        <v>27</v>
      </c>
      <c r="B28" t="s">
        <v>64</v>
      </c>
      <c r="C28" s="7">
        <v>65500</v>
      </c>
      <c r="D28" s="5" t="s">
        <v>251</v>
      </c>
      <c r="E28" s="7">
        <v>1885215716</v>
      </c>
      <c r="F28" s="7">
        <v>53093396192258</v>
      </c>
      <c r="G28" s="5">
        <v>4.0122</v>
      </c>
      <c r="H28" s="5">
        <v>-8.9899999999999994E-2</v>
      </c>
      <c r="I28" s="5">
        <v>-1.8602000000000001</v>
      </c>
    </row>
    <row r="29" spans="1:9" x14ac:dyDescent="0.45">
      <c r="A29" s="5">
        <v>28</v>
      </c>
      <c r="B29" t="s">
        <v>73</v>
      </c>
      <c r="C29" s="7">
        <v>79000</v>
      </c>
      <c r="D29" s="5" t="s">
        <v>252</v>
      </c>
      <c r="E29" s="7">
        <v>1445915457</v>
      </c>
      <c r="F29" s="7">
        <v>68536392661800</v>
      </c>
      <c r="G29" s="5">
        <v>5.1791999999999998</v>
      </c>
      <c r="H29" s="5">
        <v>-9.01E-2</v>
      </c>
      <c r="I29" s="5">
        <v>-1.8653</v>
      </c>
    </row>
    <row r="30" spans="1:9" x14ac:dyDescent="0.45">
      <c r="A30" s="5">
        <v>29</v>
      </c>
      <c r="B30" t="s">
        <v>65</v>
      </c>
      <c r="C30" s="7">
        <v>68200</v>
      </c>
      <c r="D30" s="5" t="s">
        <v>253</v>
      </c>
      <c r="E30" s="7">
        <v>2089955445</v>
      </c>
      <c r="F30" s="7">
        <v>57013984539600</v>
      </c>
      <c r="G30" s="5">
        <v>4.3083999999999998</v>
      </c>
      <c r="H30" s="5">
        <v>-0.14649999999999999</v>
      </c>
      <c r="I30" s="5">
        <v>-3.032</v>
      </c>
    </row>
    <row r="31" spans="1:9" x14ac:dyDescent="0.45">
      <c r="A31" s="5">
        <v>30</v>
      </c>
      <c r="B31" t="s">
        <v>72</v>
      </c>
      <c r="C31" s="7">
        <v>28800</v>
      </c>
      <c r="D31" s="5" t="s">
        <v>254</v>
      </c>
      <c r="E31" s="7">
        <v>7675465855</v>
      </c>
      <c r="F31" s="7">
        <v>121579379143200</v>
      </c>
      <c r="G31" s="5">
        <v>9.1875999999999998</v>
      </c>
      <c r="H31" s="5">
        <v>-0.18740000000000001</v>
      </c>
      <c r="I31" s="5">
        <v>-3.8794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zoomScale="90" zoomScaleNormal="90" workbookViewId="0">
      <pane ySplit="2" topLeftCell="A3" activePane="bottomLeft" state="frozen"/>
      <selection pane="bottomLeft" activeCell="H29" sqref="H29"/>
    </sheetView>
  </sheetViews>
  <sheetFormatPr defaultRowHeight="14.25" x14ac:dyDescent="0.45"/>
  <cols>
    <col min="1" max="1" width="31.9296875" customWidth="1"/>
    <col min="2" max="2" width="11" customWidth="1"/>
    <col min="3" max="3" width="4.86328125" customWidth="1"/>
    <col min="4" max="4" width="31.53125" customWidth="1"/>
    <col min="5" max="5" width="20.73046875" customWidth="1"/>
    <col min="6" max="6" width="4.796875" customWidth="1"/>
    <col min="7" max="7" width="27.33203125" customWidth="1"/>
    <col min="8" max="8" width="21.53125" customWidth="1"/>
  </cols>
  <sheetData>
    <row r="1" spans="1:8" ht="18" x14ac:dyDescent="0.55000000000000004">
      <c r="A1" s="3" t="s">
        <v>34</v>
      </c>
    </row>
    <row r="2" spans="1:8" x14ac:dyDescent="0.45">
      <c r="A2" s="4" t="s">
        <v>35</v>
      </c>
      <c r="D2" s="4" t="s">
        <v>36</v>
      </c>
      <c r="G2" s="31" t="s">
        <v>136</v>
      </c>
    </row>
    <row r="3" spans="1:8" x14ac:dyDescent="0.45">
      <c r="A3" s="18" t="s">
        <v>145</v>
      </c>
      <c r="B3">
        <f>SUM(AutoScore!P2:P31)</f>
        <v>10</v>
      </c>
      <c r="D3" s="18" t="s">
        <v>168</v>
      </c>
      <c r="E3">
        <f>ROUND(
  0.28*$E$11
 +0.34*$E$13
 +0.12*$E$12
 +0.16*$E$22
 +0.06*(100-$E$14)
 +0.04*$E$23,0)</f>
        <v>40</v>
      </c>
      <c r="G3" t="s">
        <v>121</v>
      </c>
      <c r="H3">
        <f>Dashboard!E3</f>
        <v>40</v>
      </c>
    </row>
    <row r="4" spans="1:8" x14ac:dyDescent="0.45">
      <c r="A4" s="18" t="s">
        <v>146</v>
      </c>
      <c r="B4">
        <f>SUM(AutoScore!Q2:Q31)</f>
        <v>19</v>
      </c>
      <c r="D4" s="18" t="s">
        <v>169</v>
      </c>
      <c r="E4">
        <f>MAX(0,MIN(100,ROUND(100*(0.35*$B$6+0.25*IFERROR(ABS($B$14)/MAX(ABS($B$11),0.0001),0)+0.2*$B$19+0.2*$B$16-0.15*$B$18-0.05*$B$5),0)))</f>
        <v>71</v>
      </c>
      <c r="G4" t="s">
        <v>122</v>
      </c>
      <c r="H4">
        <f>Dashboard!E15</f>
        <v>37</v>
      </c>
    </row>
    <row r="5" spans="1:8" x14ac:dyDescent="0.45">
      <c r="A5" s="18" t="s">
        <v>147</v>
      </c>
      <c r="B5" s="16">
        <f>IFERROR(SUM(AutoScore!P2:P31)/30,0)</f>
        <v>0.33333333333333331</v>
      </c>
      <c r="D5" s="18" t="s">
        <v>170</v>
      </c>
      <c r="E5">
        <f>MAX(0,MIN(100,ROUND(100*(0.45*$B$6 + 0.25*$B$19 + 0.2*IFERROR(SUM(AutoScore!$S$2:$S$31)/30,0) + 0.1*MIN(ABS($B$11)/3,1)),0)))</f>
        <v>49</v>
      </c>
      <c r="G5" t="s">
        <v>123</v>
      </c>
      <c r="H5" s="9">
        <f>Dashboard!E11</f>
        <v>35</v>
      </c>
    </row>
    <row r="6" spans="1:8" ht="15.75" customHeight="1" x14ac:dyDescent="0.45">
      <c r="A6" s="18" t="s">
        <v>148</v>
      </c>
      <c r="B6" s="16">
        <f>IFERROR(SUM(AutoScore!Q2:Q31)/30,0)</f>
        <v>0.6333333333333333</v>
      </c>
      <c r="D6" s="18" t="s">
        <v>171</v>
      </c>
      <c r="E6">
        <f>MAX(0,MIN(100,ROUND(100*(0.45*$B$5+0.25*$B$18+0.2*(1-$B$19)+0.1*MIN(ABS($B$11)/3,1)-0.2*IFERROR(ABS($B$14)/MAX(ABS($B$11),0.0001),0)),0)))</f>
        <v>12</v>
      </c>
      <c r="G6" t="s">
        <v>124</v>
      </c>
      <c r="H6" s="9">
        <f>Dashboard!E13</f>
        <v>47.51636141730696</v>
      </c>
    </row>
    <row r="7" spans="1:8" x14ac:dyDescent="0.45">
      <c r="A7" s="18" t="s">
        <v>149</v>
      </c>
      <c r="B7">
        <f>SUM(AutoScore!N2:N31)</f>
        <v>3</v>
      </c>
      <c r="D7" s="18" t="s">
        <v>172</v>
      </c>
      <c r="E7" s="10" t="str">
        <f>IF(E6&gt;=60,"High",IF(E6&gt;=40,"Medium","Low"))</f>
        <v>Low</v>
      </c>
      <c r="G7" t="s">
        <v>126</v>
      </c>
      <c r="H7" s="9">
        <f>Dashboard!E12</f>
        <v>31.666666666666664</v>
      </c>
    </row>
    <row r="8" spans="1:8" x14ac:dyDescent="0.45">
      <c r="A8" s="18" t="s">
        <v>150</v>
      </c>
      <c r="B8">
        <f>SUM(AutoScore!O2:O31)</f>
        <v>14</v>
      </c>
      <c r="D8" s="18" t="s">
        <v>173</v>
      </c>
      <c r="E8" s="10" t="str">
        <f>IF(E4&gt;=60,"High",IF(E4&gt;=40,"Medium","Low"))</f>
        <v>High</v>
      </c>
      <c r="G8" t="s">
        <v>125</v>
      </c>
      <c r="H8" s="9">
        <f>Dashboard!E14</f>
        <v>56.736798882994023</v>
      </c>
    </row>
    <row r="9" spans="1:8" x14ac:dyDescent="0.45">
      <c r="A9" s="18" t="s">
        <v>151</v>
      </c>
      <c r="B9">
        <f>SUM(AutoScore!R2:R31)</f>
        <v>4</v>
      </c>
      <c r="C9" s="16"/>
      <c r="G9" s="31" t="s">
        <v>127</v>
      </c>
    </row>
    <row r="10" spans="1:8" ht="15" customHeight="1" x14ac:dyDescent="0.45">
      <c r="A10" s="18" t="s">
        <v>152</v>
      </c>
      <c r="B10">
        <f>SUM(AutoScore!S2:S31)</f>
        <v>12</v>
      </c>
      <c r="C10" s="16"/>
      <c r="D10" s="11" t="s">
        <v>81</v>
      </c>
      <c r="G10" t="s">
        <v>128</v>
      </c>
      <c r="H10" s="9">
        <f>Dashboard!E22</f>
        <v>36</v>
      </c>
    </row>
    <row r="11" spans="1:8" x14ac:dyDescent="0.45">
      <c r="A11" s="18" t="s">
        <v>153</v>
      </c>
      <c r="B11" s="9">
        <f>SUM(AutoScore!T2:T31)</f>
        <v>-0.24836385826930366</v>
      </c>
      <c r="D11" s="17" t="s">
        <v>123</v>
      </c>
      <c r="E11" s="12">
        <f>MAX(0,MIN(100, 50 + 50*(B5-B6)))</f>
        <v>35</v>
      </c>
      <c r="G11" t="s">
        <v>129</v>
      </c>
      <c r="H11" s="9">
        <f>Dashboard!E23</f>
        <v>57</v>
      </c>
    </row>
    <row r="12" spans="1:8" ht="18.399999999999999" customHeight="1" x14ac:dyDescent="0.45">
      <c r="A12" s="17" t="s">
        <v>154</v>
      </c>
      <c r="B12" s="12">
        <f>SUM(AutoScore!U2:U31)</f>
        <v>0.3190665819201316</v>
      </c>
      <c r="D12" s="17" t="s">
        <v>174</v>
      </c>
      <c r="E12" s="12">
        <f>MAX(0,MIN(100, 50 + 50*(B18-B19)))</f>
        <v>31.666666666666664</v>
      </c>
      <c r="G12" t="s">
        <v>130</v>
      </c>
      <c r="H12" s="32" cm="1">
        <f t="array" ref="H12">ROUND(100*IFERROR((LARGE(ABS(AutoScore!$V$2:$V$31),1)+LARGE(ABS(AutoScore!$V$2:$V$31),2)+LARGE(ABS(AutoScore!$V$2:$V$31),3))/SUMPRODUCT(ABS(AutoScore!$V$2:$V$31)),0),0)</f>
        <v>43</v>
      </c>
    </row>
    <row r="13" spans="1:8" ht="17.649999999999999" customHeight="1" x14ac:dyDescent="0.45">
      <c r="A13" s="18" t="s">
        <v>155</v>
      </c>
      <c r="B13" s="9">
        <f>SUMPRODUCT(AutoScore!T2:T31,AutoScore!K2:K31)</f>
        <v>-0.26801172415241398</v>
      </c>
      <c r="D13" s="17" t="s">
        <v>175</v>
      </c>
      <c r="E13" s="12">
        <f>MAX(0,MIN(100, 50 + 10*B11))</f>
        <v>47.51636141730696</v>
      </c>
      <c r="G13" t="s">
        <v>137</v>
      </c>
      <c r="H13" s="32" cm="1">
        <f t="array" ref="H13">ROUND(100*IFERROR(
 SUMPRODUCT((AutoScore!$L$2:$L$31=1)*ABS(AutoScore!$V$2:$V$31))
 / SUMPRODUCT(ABS(AutoScore!$V$2:$V$31)),0),0)</f>
        <v>50</v>
      </c>
    </row>
    <row r="14" spans="1:8" ht="17.649999999999999" customHeight="1" x14ac:dyDescent="0.45">
      <c r="A14" s="18" t="s">
        <v>156</v>
      </c>
      <c r="B14" s="9">
        <f>SUMPRODUCT(AutoScore!T2:T31,AutoScore!L2:L31)</f>
        <v>0.21265801501504911</v>
      </c>
      <c r="D14" s="17" t="s">
        <v>176</v>
      </c>
      <c r="E14" s="12">
        <f>MAX(0,MIN(100, 50 + 10*(B14-B15)))</f>
        <v>56.736798882994023</v>
      </c>
      <c r="G14" t="s">
        <v>131</v>
      </c>
      <c r="H14" s="32" cm="1">
        <f t="array" ref="H14">ROUND(100*IFERROR(
 SUMPRODUCT((AutoScore!$K$2:$K$31=1)*ABS(AutoScore!$V$2:$V$31))
 / SUMPRODUCT(ABS(AutoScore!$V$2:$V$31)),0),0)</f>
        <v>26</v>
      </c>
    </row>
    <row r="15" spans="1:8" x14ac:dyDescent="0.45">
      <c r="A15" s="17" t="s">
        <v>157</v>
      </c>
      <c r="B15" s="12" cm="1">
        <f t="array" ref="B15">SUMPRODUCT((AutoScore!L2:L31=0)*AutoScore!T2:T31)</f>
        <v>-0.46102187328435285</v>
      </c>
      <c r="D15" s="17" t="s">
        <v>177</v>
      </c>
      <c r="E15" s="13">
        <f>ROUND(0.25*E11 + 0.4*E12 + 0.2*E13 + 0.15*(100-E14),0)</f>
        <v>37</v>
      </c>
      <c r="G15" t="s">
        <v>219</v>
      </c>
      <c r="H15" s="9">
        <f>SUM(LARGE(AutoScore!$X$2:$X$31,1),LARGE(AutoScore!$X$2:$X$31,2),LARGE(AutoScore!$X$2:$X$31,3))/100</f>
        <v>0.279833</v>
      </c>
    </row>
    <row r="16" spans="1:8" x14ac:dyDescent="0.45">
      <c r="A16" s="18" t="s">
        <v>158</v>
      </c>
      <c r="B16" s="9">
        <f>IFERROR(SUMPRODUCT(AutoScore!T2:T31,AutoScore!K2:K31)/SUM(AutoScore!T2:T31),0)</f>
        <v>1.0791091989793697</v>
      </c>
      <c r="D16" s="17" t="s">
        <v>178</v>
      </c>
      <c r="E16" s="13" t="str">
        <f>IF(E15&gt;=70,"BULL / SQUEEZE RISK",IF(E15&lt;=30,"BEAR / WASHOUT RISK","SIDEWAY / TRAP ZONE"))</f>
        <v>SIDEWAY / TRAP ZONE</v>
      </c>
      <c r="G16" t="s">
        <v>218</v>
      </c>
      <c r="H16" cm="1">
        <f t="array" ref="H16">ROUND(SUM(LARGE(AutoScore!$W$2:$W$31,{1,2,3})),2)</f>
        <v>0.68</v>
      </c>
    </row>
    <row r="17" spans="1:8" x14ac:dyDescent="0.45">
      <c r="A17" s="18" t="s">
        <v>159</v>
      </c>
      <c r="B17" s="9">
        <f>IFERROR(SUMPRODUCT(AutoScore!T2:T31,AutoScore!L2:L31)/SUM(AutoScore!T2:T31),0)</f>
        <v>-0.85623575224242843</v>
      </c>
      <c r="D17" s="17" t="s">
        <v>179</v>
      </c>
      <c r="E17" s="13" t="str">
        <f>IF(AND(E13&gt;=65,E11&lt;=45,E14&gt;=65),"HIGH",IF(AND(E13&gt;=60,E14&gt;=60),"MED","LOW"))</f>
        <v>LOW</v>
      </c>
      <c r="G17" t="s">
        <v>220</v>
      </c>
      <c r="H17" s="9">
        <f>(H16-H15)*100</f>
        <v>40.016700000000007</v>
      </c>
    </row>
    <row r="18" spans="1:8" x14ac:dyDescent="0.45">
      <c r="A18" s="17" t="s">
        <v>160</v>
      </c>
      <c r="B18" s="14">
        <f>IFERROR(SUM(AutoScore!N2:N31)/COUNTA(AutoScore!A2:A31),0)</f>
        <v>0.1</v>
      </c>
      <c r="D18" s="17" t="s">
        <v>180</v>
      </c>
      <c r="E18" s="13" t="str">
        <f>IF(AND(E13&lt;=35,B19&gt;=0.45),"HIGH",IF(AND(E13&lt;=40,B19&gt;=0.35),"MED","LOW"))</f>
        <v>LOW</v>
      </c>
      <c r="G18" s="31" t="s">
        <v>132</v>
      </c>
    </row>
    <row r="19" spans="1:8" x14ac:dyDescent="0.45">
      <c r="A19" s="17" t="s">
        <v>161</v>
      </c>
      <c r="B19" s="14">
        <f>IFERROR(SUM(AutoScore!O2:O31)/COUNTA(AutoScore!A2:A31),0)</f>
        <v>0.46666666666666667</v>
      </c>
      <c r="D19" s="17" t="s">
        <v>181</v>
      </c>
      <c r="E19" s="13" t="str">
        <f>IF(AND(E13&gt;=60,B18&gt;=0.45,B19&lt;=0.25),"HIGH",IF(E13&gt;=55,"MED","LOW"))</f>
        <v>LOW</v>
      </c>
      <c r="G19" t="s">
        <v>138</v>
      </c>
      <c r="H19" cm="1">
        <f t="array" ref="H19">IFERROR(ROUND(100*ABS(SUMIFS(AutoScore!$V$2:$V$31,AutoScore!$L$2:$L$31,1))/SUMPRODUCT(ABS(AutoScore!$V$2:$V$31)),0),0)</f>
        <v>11</v>
      </c>
    </row>
    <row r="20" spans="1:8" x14ac:dyDescent="0.45">
      <c r="A20" s="17" t="s">
        <v>162</v>
      </c>
      <c r="B20" s="15" t="str">
        <f>TEXT(B5,"0%")&amp;" / "&amp;TEXT(B6,"0%")</f>
        <v>33% / 63%</v>
      </c>
      <c r="D20" s="17" t="s">
        <v>182</v>
      </c>
      <c r="E20" s="10" t="str">
        <f>IF($E$3-$E$15&gt;=MAX(4,MIN(8,ROUND($E$13/15,0))),"Internal&gt;Surface(Bull ẩn)",IF($E$3-$E$15&lt;=-MAX(4,MIN(8,ROUND($E$13/15,0))),"Surface&gt;Internals(Kéo trụ/méo)","ALIGNED"))</f>
        <v>ALIGNED</v>
      </c>
      <c r="G20" t="s">
        <v>133</v>
      </c>
      <c r="H20" s="10" t="str">
        <f>Dashboard!E17</f>
        <v>LOW</v>
      </c>
    </row>
    <row r="21" spans="1:8" x14ac:dyDescent="0.45">
      <c r="A21" s="17" t="s">
        <v>163</v>
      </c>
      <c r="B21" s="15" t="str">
        <f>TEXT(B18,"0%")&amp;" / "&amp;TEXT(B19,"0%")</f>
        <v>10% / 47%</v>
      </c>
      <c r="D21" s="17" t="s">
        <v>183</v>
      </c>
      <c r="E21" s="10" t="str">
        <f>IF($E$15="","",
 IF($E$15&gt;=70,"Continuation Up",
 IF($E$15&lt;=30,"Pullback",
 "Digest")))</f>
        <v>Digest</v>
      </c>
      <c r="G21" t="s">
        <v>134</v>
      </c>
      <c r="H21" s="10" t="str">
        <f>Dashboard!E18</f>
        <v>LOW</v>
      </c>
    </row>
    <row r="22" spans="1:8" x14ac:dyDescent="0.45">
      <c r="A22" s="17" t="s">
        <v>164</v>
      </c>
      <c r="B22" s="15" t="str">
        <f>TEXT(B14,"0.00")&amp;" / "&amp;TEXT(B15,"0.00")</f>
        <v>0.21 / -0.46</v>
      </c>
      <c r="D22" s="17" t="s">
        <v>184</v>
      </c>
      <c r="E22">
        <f>MAX(0,MIN(100,ROUND(100*$B$24,0)))</f>
        <v>36</v>
      </c>
      <c r="G22" t="s">
        <v>135</v>
      </c>
      <c r="H22" s="10" t="str">
        <f>Dashboard!E19</f>
        <v>LOW</v>
      </c>
    </row>
    <row r="23" spans="1:8" x14ac:dyDescent="0.45">
      <c r="A23" s="18" t="s">
        <v>165</v>
      </c>
      <c r="B23" s="10" t="str">
        <f>IF($E$3&gt;=80,"STRONG BULL",IF($E$3&gt;=70,"BULL",IF($E$3&gt;=60,"WEAK BULL",IF($E$3&gt;=45,"NEUTRAL",IF($E$3&gt;=30,"DISTRIBUTION","BEAR")))))</f>
        <v>DISTRIBUTION</v>
      </c>
      <c r="D23" s="17" t="s">
        <v>185</v>
      </c>
      <c r="E23" cm="1">
        <f t="array" ref="E23">MAX(0,MIN(100,ROUND(100*(1-((LARGE(ABS(AutoScore!$V$2:$V$31),1)+LARGE(ABS(AutoScore!$V$2:$V$31),2)+LARGE(ABS(AutoScore!$V$2:$V$31),3))/SUMPRODUCT(ABS(AutoScore!$V$2:$V$31)))),0)))</f>
        <v>57</v>
      </c>
      <c r="G23" t="s">
        <v>139</v>
      </c>
      <c r="H23" t="str">
        <f>IF($H$3&gt;=80,"STRONG BULL",IF($H$3&gt;=70,"BULL",IF($H$3&gt;=60,"WEAK BULL",IF($H$3&gt;=45,"NEUTRAL",IF($H$3&gt;=30,"DISTRIBUTION","BEAR")))))</f>
        <v>DISTRIBUTION</v>
      </c>
    </row>
    <row r="24" spans="1:8" x14ac:dyDescent="0.45">
      <c r="A24" t="s">
        <v>166</v>
      </c>
      <c r="B24" s="9">
        <f>IFERROR(SUMIF(AutoScore!$G$2:$G$31,"&gt;0",AutoScore!$J$2:$J$31),0)</f>
        <v>0.36299871898334685</v>
      </c>
      <c r="D24" s="31"/>
      <c r="G24" t="s">
        <v>140</v>
      </c>
      <c r="H24" t="str">
        <f>IF(AND($H$10&gt;=70,$H$11&gt;=60,$H$19&lt;=40),"Broad-based expansion",IF(AND($H$10&gt;=70,OR($H$11&lt;55,$H$19&gt;55)),"Top-heavy rally",IF(AND($H$10&lt;60,$H$3&gt;=60),"Narrow participation",IF(AND($H$3&lt;45,$H$10&lt;45),"Risk-off","Mixed / digestion"))))</f>
        <v>Risk-off</v>
      </c>
    </row>
    <row r="25" spans="1:8" x14ac:dyDescent="0.45">
      <c r="A25" t="s">
        <v>167</v>
      </c>
      <c r="B25" s="9">
        <f>IFERROR(SUMIF(AutoScore!$G$2:$G$31,"&lt;0",AutoScore!$J$2:$J$31),0)</f>
        <v>0.52580083541086053</v>
      </c>
      <c r="G25" t="s">
        <v>141</v>
      </c>
      <c r="H25" t="str">
        <f>IF(OR($H$20="HIGH",$H$21="HIGH"),"High risk regime",IF($H$22="HIGH","Squeeze risk elevated","Risk contained"))</f>
        <v>Risk contained</v>
      </c>
    </row>
    <row r="26" spans="1:8" x14ac:dyDescent="0.45">
      <c r="G26" s="31" t="s">
        <v>142</v>
      </c>
      <c r="H26" t="str">
        <f>$H$23&amp;" | "&amp;$H$24&amp;IF($H$14&gt;=45," | Bank-led","")&amp;" | "&amp;$H$25 &amp;" | "&amp;$H$27</f>
        <v>DISTRIBUTION | Risk-off | Risk contained | WAIT CONFIRMATION</v>
      </c>
    </row>
    <row r="27" spans="1:8" x14ac:dyDescent="0.45">
      <c r="G27" s="31" t="s">
        <v>143</v>
      </c>
      <c r="H27" t="str">
        <f>IF(OR($H$20="HIGH",$H$21="HIGH"),
"STAND ASIDE (trap/washout high)",
IF(AND($H$3&gt;=70,$H$10&gt;=65,$H$11&gt;=60,$H$19&lt;=45,$H$22&lt;&gt;"LOW"),
"CONTINUATION BIAS (trend-friendly)",
IF(AND($H$3&gt;=60,$H$4&gt;=60),
"SCALP / RANGE until breakout",
"WAIT CONFIRMATION")))</f>
        <v>WAIT CONFIRMATION</v>
      </c>
    </row>
    <row r="28" spans="1:8" x14ac:dyDescent="0.45">
      <c r="H28" t="str">
        <f>IF($H$10&gt;=70,"WHY: Weighted breadth strong","WHY: Participation not strong")
&amp;" / "&amp;IF($H$19&lt;=40,"low dependency","dependency elevated")
&amp;" / "&amp;IF($H$11&gt;=60,"concentration ok","top3 too dominant")</f>
        <v>WHY: Participation not strong / low dependency / top3 too dominant</v>
      </c>
    </row>
    <row r="29" spans="1:8" x14ac:dyDescent="0.45">
      <c r="G29" s="31" t="s">
        <v>144</v>
      </c>
      <c r="H29" t="str">
        <f>IF(OR($H$20="HIGH",$H$21="HIGH"),
"NO TRADE / CAPITAL PROTECTION",
IF(AND($H$3&gt;=75,$H$10&gt;=70,$H$11&gt;=60,$H$19&lt;=40,$H$22="HIGH"),
"BREAKOUT LONG (trend expansion)",
IF(AND($H$3&gt;=70,$H$10&gt;=65,$H$11&gt;=60,$H$19&lt;=45),
"PULLBACK LONG (buy HL / EMA reclaim)",
IF(AND($H$3&lt;=30,$H$10&lt;=40,$H$11&gt;=60,$H$19&lt;=45),
"BREAKDOWN SHORT (trend expansion)",
IF(AND($H$3&lt;=40,$H$10&lt;=45),
"PULLBACK SHORT (sell LH / EMA reject)",
IF(AND($H$3&gt;=60,$H$3&lt;70),
"SCALP (range / intraday only)",
"WAIT / OBSERVE"
))))))</f>
        <v>PULLBACK SHORT (sell LH / EMA reject)</v>
      </c>
    </row>
    <row r="32" spans="1:8" x14ac:dyDescent="0.45">
      <c r="A32" s="4" t="s">
        <v>42</v>
      </c>
    </row>
    <row r="33" spans="1:1" x14ac:dyDescent="0.45">
      <c r="A33" t="s">
        <v>43</v>
      </c>
    </row>
    <row r="34" spans="1:1" x14ac:dyDescent="0.45">
      <c r="A34" t="s">
        <v>186</v>
      </c>
    </row>
    <row r="35" spans="1:1" x14ac:dyDescent="0.45">
      <c r="A35" t="s">
        <v>44</v>
      </c>
    </row>
    <row r="36" spans="1:1" x14ac:dyDescent="0.45">
      <c r="A36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4FD5-0987-46A1-AF33-C47D91D4D6B9}">
  <dimension ref="A1:P21"/>
  <sheetViews>
    <sheetView workbookViewId="0">
      <selection activeCell="H22" sqref="H22"/>
    </sheetView>
  </sheetViews>
  <sheetFormatPr defaultRowHeight="14.25" x14ac:dyDescent="0.45"/>
  <cols>
    <col min="1" max="1" width="5.46484375" customWidth="1"/>
    <col min="6" max="6" width="8.53125" customWidth="1"/>
    <col min="7" max="7" width="9.46484375" customWidth="1"/>
    <col min="8" max="8" width="18.9296875" customWidth="1"/>
    <col min="9" max="9" width="17.3984375" customWidth="1"/>
    <col min="10" max="10" width="16.1328125" customWidth="1"/>
    <col min="11" max="11" width="13.33203125" customWidth="1"/>
    <col min="14" max="14" width="14.46484375" customWidth="1"/>
    <col min="15" max="15" width="9.73046875" customWidth="1"/>
    <col min="16" max="16" width="9.6640625" customWidth="1"/>
  </cols>
  <sheetData>
    <row r="1" spans="1:16" ht="14.25" customHeight="1" x14ac:dyDescent="0.45">
      <c r="A1" s="31" t="s">
        <v>0</v>
      </c>
      <c r="B1" s="41" t="s">
        <v>1</v>
      </c>
      <c r="C1" s="41" t="s">
        <v>4</v>
      </c>
      <c r="D1" s="41" t="s">
        <v>5</v>
      </c>
      <c r="E1" s="41" t="s">
        <v>6</v>
      </c>
      <c r="F1" s="41" t="s">
        <v>7</v>
      </c>
      <c r="G1" s="30" t="s">
        <v>22</v>
      </c>
      <c r="H1" s="30" t="s">
        <v>205</v>
      </c>
      <c r="I1" s="41" t="s">
        <v>188</v>
      </c>
      <c r="J1" s="41" t="s">
        <v>189</v>
      </c>
      <c r="K1" s="41" t="s">
        <v>116</v>
      </c>
      <c r="L1" s="31" t="s">
        <v>200</v>
      </c>
      <c r="M1" s="41" t="s">
        <v>201</v>
      </c>
      <c r="N1" s="41" t="s">
        <v>202</v>
      </c>
      <c r="O1" s="41" t="s">
        <v>203</v>
      </c>
      <c r="P1" s="41" t="s">
        <v>204</v>
      </c>
    </row>
    <row r="2" spans="1:16" ht="14.25" customHeight="1" x14ac:dyDescent="0.45">
      <c r="A2" s="31">
        <f>ROW()-ROW(tblOI[[#Headers],[No.]])</f>
        <v>1</v>
      </c>
      <c r="B2" s="6">
        <v>46080</v>
      </c>
      <c r="C2" s="39">
        <v>2067</v>
      </c>
      <c r="D2" s="39">
        <v>2061.3000000000002</v>
      </c>
      <c r="E2" s="36">
        <v>2072.5</v>
      </c>
      <c r="F2" s="39">
        <v>2054.5</v>
      </c>
      <c r="G2" s="7">
        <v>102348</v>
      </c>
      <c r="H2" s="5">
        <v>0</v>
      </c>
      <c r="I2" s="7">
        <v>34991</v>
      </c>
      <c r="J2" s="35">
        <v>2061.3000000000002</v>
      </c>
      <c r="K2" s="40" t="s">
        <v>229</v>
      </c>
      <c r="L2" s="43" cm="1">
        <f t="array" ref="L2">IFERROR(tblOI[[#This Row],[Close]]-INDEX(tblOI[Close],tblOI[[#This Row],[No.]]+1),"")</f>
        <v>5.6000000000003638</v>
      </c>
      <c r="M2" s="42" cm="1">
        <f t="array" ref="M2">IFERROR(tblOI[[#This Row],[Open interest (OI)]]-INDEX(tblOI[Open interest (OI)],tblOI[[#This Row],[No.]]+1),"")</f>
        <v>6868</v>
      </c>
      <c r="N2" s="41" t="str">
        <f>IF(OR(tblOI[[#This Row],[ΔClose]]="",tblOI[[#This Row],[ΔOI]]=""),"",
 IF(AND(tblOI[[#This Row],[ΔClose]]&gt;0,tblOI[[#This Row],[ΔOI]]&gt;0),"BUILD LONG",
 IF(AND(tblOI[[#This Row],[ΔClose]]&lt;0,tblOI[[#This Row],[ΔOI]]&gt;0),"BUILD SHORT",
 IF(AND(tblOI[[#This Row],[ΔClose]]&gt;0,tblOI[[#This Row],[ΔOI]]&lt;0),"SHORT COVER",
 IF(AND(tblOI[[#This Row],[ΔClose]]&lt;0,tblOI[[#This Row],[ΔOI]]&lt;0),"LONG UNWIND","-")))))</f>
        <v>BUILD LONG</v>
      </c>
      <c r="O2" s="41">
        <f>IF(tblOI[[#This Row],[OI_Quadrant]]="","",1)</f>
        <v>1</v>
      </c>
      <c r="P2" s="41">
        <f>IF(tblOI[[#This Row],[ValidDay]]="","",SUMIFS(tblOI[ValidDay],tblOI[No.],"&lt;="&amp;tblOI[[#This Row],[No.]]))</f>
        <v>1</v>
      </c>
    </row>
    <row r="3" spans="1:16" ht="14.25" customHeight="1" x14ac:dyDescent="0.45">
      <c r="A3" s="31">
        <f>ROW()-ROW(tblOI[[#Headers],[No.]])</f>
        <v>2</v>
      </c>
      <c r="B3" s="6">
        <v>46079</v>
      </c>
      <c r="C3" s="39">
        <v>2043.7</v>
      </c>
      <c r="D3" s="36">
        <v>2055.6999999999998</v>
      </c>
      <c r="E3" s="36">
        <v>2065.8000000000002</v>
      </c>
      <c r="F3" s="39">
        <v>2043.3</v>
      </c>
      <c r="G3" s="7">
        <v>121314</v>
      </c>
      <c r="H3" s="5">
        <v>32</v>
      </c>
      <c r="I3" s="7">
        <v>28123</v>
      </c>
      <c r="J3" s="35">
        <v>2055.6999999999998</v>
      </c>
      <c r="K3" s="38" t="s">
        <v>225</v>
      </c>
      <c r="L3" s="43" cm="1">
        <f t="array" ref="L3">IFERROR(tblOI[[#This Row],[Close]]-INDEX(tblOI[Close],tblOI[[#This Row],[No.]]+1),"")</f>
        <v>9.1999999999998181</v>
      </c>
      <c r="M3" s="42" cm="1">
        <f t="array" ref="M3">IFERROR(tblOI[[#This Row],[Open interest (OI)]]-INDEX(tblOI[Open interest (OI)],tblOI[[#This Row],[No.]]+1),"")</f>
        <v>-5186</v>
      </c>
      <c r="N3" s="41" t="str">
        <f>IF(OR(tblOI[[#This Row],[ΔClose]]="",tblOI[[#This Row],[ΔOI]]=""),"",
 IF(AND(tblOI[[#This Row],[ΔClose]]&gt;0,tblOI[[#This Row],[ΔOI]]&gt;0),"BUILD LONG",
 IF(AND(tblOI[[#This Row],[ΔClose]]&lt;0,tblOI[[#This Row],[ΔOI]]&gt;0),"BUILD SHORT",
 IF(AND(tblOI[[#This Row],[ΔClose]]&gt;0,tblOI[[#This Row],[ΔOI]]&lt;0),"SHORT COVER",
 IF(AND(tblOI[[#This Row],[ΔClose]]&lt;0,tblOI[[#This Row],[ΔOI]]&lt;0),"LONG UNWIND","-")))))</f>
        <v>SHORT COVER</v>
      </c>
      <c r="O3" s="41">
        <f>IF(tblOI[[#This Row],[OI_Quadrant]]="","",1)</f>
        <v>1</v>
      </c>
      <c r="P3" s="41">
        <f>IF(tblOI[[#This Row],[ValidDay]]="","",SUMIFS(tblOI[ValidDay],tblOI[No.],"&lt;="&amp;tblOI[[#This Row],[No.]]))</f>
        <v>2</v>
      </c>
    </row>
    <row r="4" spans="1:16" ht="14.25" customHeight="1" x14ac:dyDescent="0.45">
      <c r="A4" s="31">
        <f>ROW()-ROW(tblOI[[#Headers],[No.]])</f>
        <v>3</v>
      </c>
      <c r="B4" s="6">
        <v>46078</v>
      </c>
      <c r="C4" s="36">
        <v>2055</v>
      </c>
      <c r="D4" s="44">
        <v>2046.5</v>
      </c>
      <c r="E4" s="36">
        <v>2066.8000000000002</v>
      </c>
      <c r="F4" s="39">
        <v>2044.2</v>
      </c>
      <c r="G4" s="7">
        <v>211342</v>
      </c>
      <c r="H4" s="5">
        <v>0</v>
      </c>
      <c r="I4" s="7">
        <v>33309</v>
      </c>
      <c r="J4" s="35">
        <v>2046.5</v>
      </c>
      <c r="K4" s="45" t="s">
        <v>213</v>
      </c>
      <c r="L4" s="43" cm="1">
        <f t="array" ref="L4">IFERROR(tblOI[[#This Row],[Close]]-INDEX(tblOI[Close],tblOI[[#This Row],[No.]]+1),"")</f>
        <v>0</v>
      </c>
      <c r="M4" s="42" cm="1">
        <f t="array" ref="M4">IFERROR(tblOI[[#This Row],[Open interest (OI)]]-INDEX(tblOI[Open interest (OI)],tblOI[[#This Row],[No.]]+1),"")</f>
        <v>-2353</v>
      </c>
      <c r="N4" s="41" t="str">
        <f>IF(OR(tblOI[[#This Row],[ΔClose]]="",tblOI[[#This Row],[ΔOI]]=""),"",
 IF(AND(tblOI[[#This Row],[ΔClose]]&gt;0,tblOI[[#This Row],[ΔOI]]&gt;0),"BUILD LONG",
 IF(AND(tblOI[[#This Row],[ΔClose]]&lt;0,tblOI[[#This Row],[ΔOI]]&gt;0),"BUILD SHORT",
 IF(AND(tblOI[[#This Row],[ΔClose]]&gt;0,tblOI[[#This Row],[ΔOI]]&lt;0),"SHORT COVER",
 IF(AND(tblOI[[#This Row],[ΔClose]]&lt;0,tblOI[[#This Row],[ΔOI]]&lt;0),"LONG UNWIND","-")))))</f>
        <v>-</v>
      </c>
      <c r="O4" s="41">
        <f>IF(tblOI[[#This Row],[OI_Quadrant]]="","",1)</f>
        <v>1</v>
      </c>
      <c r="P4" s="41">
        <f>IF(tblOI[[#This Row],[ValidDay]]="","",SUMIFS(tblOI[ValidDay],tblOI[No.],"&lt;="&amp;tblOI[[#This Row],[No.]]))</f>
        <v>3</v>
      </c>
    </row>
    <row r="5" spans="1:16" ht="14.25" customHeight="1" x14ac:dyDescent="0.45">
      <c r="A5" s="31">
        <f>ROW()-ROW(tblOI[[#Headers],[No.]])</f>
        <v>4</v>
      </c>
      <c r="B5" s="6">
        <v>46077</v>
      </c>
      <c r="C5" s="39">
        <v>2041.1</v>
      </c>
      <c r="D5" s="36">
        <v>2046.5</v>
      </c>
      <c r="E5" s="36">
        <v>2046.9</v>
      </c>
      <c r="F5" s="39">
        <v>2032.2</v>
      </c>
      <c r="G5" s="7">
        <v>163164</v>
      </c>
      <c r="H5" s="5">
        <v>70</v>
      </c>
      <c r="I5" s="7">
        <v>35662</v>
      </c>
      <c r="J5" s="35">
        <v>2046.5</v>
      </c>
      <c r="K5" s="38" t="s">
        <v>210</v>
      </c>
      <c r="L5" s="43" cm="1">
        <f t="array" ref="L5">IFERROR(tblOI[[#This Row],[Close]]-INDEX(tblOI[Close],tblOI[[#This Row],[No.]]+1),"")</f>
        <v>2.5</v>
      </c>
      <c r="M5" s="42" cm="1">
        <f t="array" ref="M5">IFERROR(tblOI[[#This Row],[Open interest (OI)]]-INDEX(tblOI[Open interest (OI)],tblOI[[#This Row],[No.]]+1),"")</f>
        <v>12871</v>
      </c>
      <c r="N5" s="41" t="str">
        <f>IF(OR(tblOI[[#This Row],[ΔClose]]="",tblOI[[#This Row],[ΔOI]]=""),"",
 IF(AND(tblOI[[#This Row],[ΔClose]]&gt;0,tblOI[[#This Row],[ΔOI]]&gt;0),"BUILD LONG",
 IF(AND(tblOI[[#This Row],[ΔClose]]&lt;0,tblOI[[#This Row],[ΔOI]]&gt;0),"BUILD SHORT",
 IF(AND(tblOI[[#This Row],[ΔClose]]&gt;0,tblOI[[#This Row],[ΔOI]]&lt;0),"SHORT COVER",
 IF(AND(tblOI[[#This Row],[ΔClose]]&lt;0,tblOI[[#This Row],[ΔOI]]&lt;0),"LONG UNWIND","-")))))</f>
        <v>BUILD LONG</v>
      </c>
      <c r="O5" s="41">
        <f>IF(tblOI[[#This Row],[OI_Quadrant]]="","",1)</f>
        <v>1</v>
      </c>
      <c r="P5" s="41">
        <f>IF(tblOI[[#This Row],[ValidDay]]="","",SUMIFS(tblOI[ValidDay],tblOI[No.],"&lt;="&amp;tblOI[[#This Row],[No.]]))</f>
        <v>4</v>
      </c>
    </row>
    <row r="6" spans="1:16" x14ac:dyDescent="0.45">
      <c r="A6" s="31">
        <f>ROW()-ROW(tblOI[[#Headers],[No.]])</f>
        <v>5</v>
      </c>
      <c r="B6" s="6">
        <v>46076</v>
      </c>
      <c r="C6" s="36">
        <v>2033</v>
      </c>
      <c r="D6" s="36">
        <v>2044</v>
      </c>
      <c r="E6" s="36">
        <v>2049.1</v>
      </c>
      <c r="F6" s="36">
        <v>2031.5</v>
      </c>
      <c r="G6" s="7">
        <v>128143</v>
      </c>
      <c r="H6" s="5">
        <v>0</v>
      </c>
      <c r="I6" s="7">
        <v>22791</v>
      </c>
      <c r="J6" s="35">
        <v>2044</v>
      </c>
      <c r="K6" s="38" t="s">
        <v>190</v>
      </c>
      <c r="L6" s="34" cm="1">
        <f t="array" ref="L6">IFERROR(tblOI[[#This Row],[Close]]-INDEX(tblOI[Close],tblOI[[#This Row],[No.]]+1),"")</f>
        <v>24.200000000000045</v>
      </c>
      <c r="M6" s="37" cm="1">
        <f t="array" ref="M6">IFERROR(tblOI[[#This Row],[Open interest (OI)]]-INDEX(tblOI[Open interest (OI)],tblOI[[#This Row],[No.]]+1),"")</f>
        <v>7452</v>
      </c>
      <c r="N6" t="str">
        <f>IF(OR(tblOI[[#This Row],[ΔClose]]="",tblOI[[#This Row],[ΔOI]]=""),"",
 IF(AND(tblOI[[#This Row],[ΔClose]]&gt;0,tblOI[[#This Row],[ΔOI]]&gt;0),"BUILD LONG",
 IF(AND(tblOI[[#This Row],[ΔClose]]&lt;0,tblOI[[#This Row],[ΔOI]]&gt;0),"BUILD SHORT",
 IF(AND(tblOI[[#This Row],[ΔClose]]&gt;0,tblOI[[#This Row],[ΔOI]]&lt;0),"SHORT COVER",
 IF(AND(tblOI[[#This Row],[ΔClose]]&lt;0,tblOI[[#This Row],[ΔOI]]&lt;0),"LONG UNWIND","-")))))</f>
        <v>BUILD LONG</v>
      </c>
      <c r="O6">
        <f>IF(tblOI[[#This Row],[OI_Quadrant]]="","",1)</f>
        <v>1</v>
      </c>
      <c r="P6">
        <f>IF(tblOI[[#This Row],[ValidDay]]="","",SUMIFS(tblOI[ValidDay],tblOI[No.],"&lt;="&amp;tblOI[[#This Row],[No.]]))</f>
        <v>5</v>
      </c>
    </row>
    <row r="7" spans="1:16" x14ac:dyDescent="0.45">
      <c r="A7" s="31">
        <f>ROW()-ROW(tblOI[[#Headers],[No.]])</f>
        <v>6</v>
      </c>
      <c r="B7" s="6">
        <v>46066</v>
      </c>
      <c r="C7" s="39">
        <v>2021</v>
      </c>
      <c r="D7" s="39">
        <v>2019.8</v>
      </c>
      <c r="E7" s="39">
        <v>2025</v>
      </c>
      <c r="F7" s="39">
        <v>2012</v>
      </c>
      <c r="G7" s="7">
        <v>20817</v>
      </c>
      <c r="H7" s="5">
        <v>0</v>
      </c>
      <c r="I7" s="7">
        <v>15339</v>
      </c>
      <c r="J7" s="35">
        <v>2019.8</v>
      </c>
      <c r="K7" s="40" t="s">
        <v>191</v>
      </c>
      <c r="L7" s="34" cm="1">
        <f t="array" ref="L7">IFERROR(tblOI[[#This Row],[Close]]-INDEX(tblOI[Close],tblOI[[#This Row],[No.]]+1),"")</f>
        <v>9.2999999999999545</v>
      </c>
      <c r="M7" s="37" cm="1">
        <f t="array" ref="M7">IFERROR(tblOI[[#This Row],[Open interest (OI)]]-INDEX(tblOI[Open interest (OI)],tblOI[[#This Row],[No.]]+1),"")</f>
        <v>-14497</v>
      </c>
      <c r="N7" t="str">
        <f>IF(OR(tblOI[[#This Row],[ΔClose]]="",tblOI[[#This Row],[ΔOI]]=""),"",
 IF(AND(tblOI[[#This Row],[ΔClose]]&gt;0,tblOI[[#This Row],[ΔOI]]&gt;0),"BUILD LONG",
 IF(AND(tblOI[[#This Row],[ΔClose]]&lt;0,tblOI[[#This Row],[ΔOI]]&gt;0),"BUILD SHORT",
 IF(AND(tblOI[[#This Row],[ΔClose]]&gt;0,tblOI[[#This Row],[ΔOI]]&lt;0),"SHORT COVER",
 IF(AND(tblOI[[#This Row],[ΔClose]]&lt;0,tblOI[[#This Row],[ΔOI]]&lt;0),"LONG UNWIND","-")))))</f>
        <v>SHORT COVER</v>
      </c>
      <c r="O7">
        <f>IF(tblOI[[#This Row],[OI_Quadrant]]="","",1)</f>
        <v>1</v>
      </c>
      <c r="P7">
        <f>IF(tblOI[[#This Row],[ValidDay]]="","",SUMIFS(tblOI[ValidDay],tblOI[No.],"&lt;="&amp;tblOI[[#This Row],[No.]]))</f>
        <v>6</v>
      </c>
    </row>
    <row r="8" spans="1:16" x14ac:dyDescent="0.45">
      <c r="A8" s="31">
        <f>ROW()-ROW(tblOI[[#Headers],[No.]])</f>
        <v>7</v>
      </c>
      <c r="B8" s="6">
        <v>46066</v>
      </c>
      <c r="C8" s="39">
        <v>2020.8</v>
      </c>
      <c r="D8" s="39">
        <v>2010.5</v>
      </c>
      <c r="E8" s="36">
        <v>2022.4</v>
      </c>
      <c r="F8" s="39">
        <v>2009</v>
      </c>
      <c r="G8" s="7">
        <v>143785</v>
      </c>
      <c r="H8" s="5">
        <v>0</v>
      </c>
      <c r="I8" s="7">
        <v>29836</v>
      </c>
      <c r="J8" s="35">
        <v>2010.5</v>
      </c>
      <c r="K8" s="40" t="s">
        <v>192</v>
      </c>
      <c r="L8" s="34" cm="1">
        <f t="array" ref="L8">IFERROR(tblOI[[#This Row],[Close]]-INDEX(tblOI[Close],tblOI[[#This Row],[No.]]+1),"")</f>
        <v>-10.5</v>
      </c>
      <c r="M8" s="37" cm="1">
        <f t="array" ref="M8">IFERROR(tblOI[[#This Row],[Open interest (OI)]]-INDEX(tblOI[Open interest (OI)],tblOI[[#This Row],[No.]]+1),"")</f>
        <v>-6757</v>
      </c>
      <c r="N8" t="str">
        <f>IF(OR(tblOI[[#This Row],[ΔClose]]="",tblOI[[#This Row],[ΔOI]]=""),"",
 IF(AND(tblOI[[#This Row],[ΔClose]]&gt;0,tblOI[[#This Row],[ΔOI]]&gt;0),"BUILD LONG",
 IF(AND(tblOI[[#This Row],[ΔClose]]&lt;0,tblOI[[#This Row],[ΔOI]]&gt;0),"BUILD SHORT",
 IF(AND(tblOI[[#This Row],[ΔClose]]&gt;0,tblOI[[#This Row],[ΔOI]]&lt;0),"SHORT COVER",
 IF(AND(tblOI[[#This Row],[ΔClose]]&lt;0,tblOI[[#This Row],[ΔOI]]&lt;0),"LONG UNWIND","-")))))</f>
        <v>LONG UNWIND</v>
      </c>
      <c r="O8">
        <f>IF(tblOI[[#This Row],[OI_Quadrant]]="","",1)</f>
        <v>1</v>
      </c>
      <c r="P8">
        <f>IF(tblOI[[#This Row],[ValidDay]]="","",SUMIFS(tblOI[ValidDay],tblOI[No.],"&lt;="&amp;tblOI[[#This Row],[No.]]))</f>
        <v>7</v>
      </c>
    </row>
    <row r="9" spans="1:16" x14ac:dyDescent="0.45">
      <c r="A9" s="31">
        <f>ROW()-ROW(tblOI[[#Headers],[No.]])</f>
        <v>8</v>
      </c>
      <c r="B9" s="6">
        <v>46065</v>
      </c>
      <c r="C9" s="36">
        <v>2024.3</v>
      </c>
      <c r="D9" s="36">
        <v>2021</v>
      </c>
      <c r="E9" s="36">
        <v>2028</v>
      </c>
      <c r="F9" s="39">
        <v>2015.4</v>
      </c>
      <c r="G9" s="7">
        <v>131142</v>
      </c>
      <c r="H9" s="5">
        <v>0</v>
      </c>
      <c r="I9" s="7">
        <v>36593</v>
      </c>
      <c r="J9" s="35">
        <v>2021</v>
      </c>
      <c r="K9" s="38" t="s">
        <v>193</v>
      </c>
      <c r="L9" s="34" cm="1">
        <f t="array" ref="L9">IFERROR(tblOI[[#This Row],[Close]]-INDEX(tblOI[Close],tblOI[[#This Row],[No.]]+1),"")</f>
        <v>3</v>
      </c>
      <c r="M9" s="37" cm="1">
        <f t="array" ref="M9">IFERROR(tblOI[[#This Row],[Open interest (OI)]]-INDEX(tblOI[Open interest (OI)],tblOI[[#This Row],[No.]]+1),"")</f>
        <v>-712</v>
      </c>
      <c r="N9" t="str">
        <f>IF(OR(tblOI[[#This Row],[ΔClose]]="",tblOI[[#This Row],[ΔOI]]=""),"",
 IF(AND(tblOI[[#This Row],[ΔClose]]&gt;0,tblOI[[#This Row],[ΔOI]]&gt;0),"BUILD LONG",
 IF(AND(tblOI[[#This Row],[ΔClose]]&lt;0,tblOI[[#This Row],[ΔOI]]&gt;0),"BUILD SHORT",
 IF(AND(tblOI[[#This Row],[ΔClose]]&gt;0,tblOI[[#This Row],[ΔOI]]&lt;0),"SHORT COVER",
 IF(AND(tblOI[[#This Row],[ΔClose]]&lt;0,tblOI[[#This Row],[ΔOI]]&lt;0),"LONG UNWIND","-")))))</f>
        <v>SHORT COVER</v>
      </c>
      <c r="O9">
        <f>IF(tblOI[[#This Row],[OI_Quadrant]]="","",1)</f>
        <v>1</v>
      </c>
      <c r="P9">
        <f>IF(tblOI[[#This Row],[ValidDay]]="","",SUMIFS(tblOI[ValidDay],tblOI[No.],"&lt;="&amp;tblOI[[#This Row],[No.]]))</f>
        <v>8</v>
      </c>
    </row>
    <row r="10" spans="1:16" x14ac:dyDescent="0.45">
      <c r="A10" s="31">
        <f>ROW()-ROW(tblOI[[#Headers],[No.]])</f>
        <v>9</v>
      </c>
      <c r="B10" s="6">
        <v>46064</v>
      </c>
      <c r="C10" s="36">
        <v>1967.7</v>
      </c>
      <c r="D10" s="36">
        <v>2018</v>
      </c>
      <c r="E10" s="36">
        <v>2018.3</v>
      </c>
      <c r="F10" s="36">
        <v>1967.2</v>
      </c>
      <c r="G10" s="7">
        <v>288938</v>
      </c>
      <c r="H10" s="5">
        <v>40</v>
      </c>
      <c r="I10" s="7">
        <v>37305</v>
      </c>
      <c r="J10" s="35">
        <v>2018</v>
      </c>
      <c r="K10" s="38" t="s">
        <v>194</v>
      </c>
      <c r="L10" s="34" cm="1">
        <f t="array" ref="L10">IFERROR(tblOI[[#This Row],[Close]]-INDEX(tblOI[Close],tblOI[[#This Row],[No.]]+1),"")</f>
        <v>51.900000000000091</v>
      </c>
      <c r="M10" s="37" cm="1">
        <f t="array" ref="M10">IFERROR(tblOI[[#This Row],[Open interest (OI)]]-INDEX(tblOI[Open interest (OI)],tblOI[[#This Row],[No.]]+1),"")</f>
        <v>-5530</v>
      </c>
      <c r="N10" t="str">
        <f>IF(OR(tblOI[[#This Row],[ΔClose]]="",tblOI[[#This Row],[ΔOI]]=""),"",
 IF(AND(tblOI[[#This Row],[ΔClose]]&gt;0,tblOI[[#This Row],[ΔOI]]&gt;0),"BUILD LONG",
 IF(AND(tblOI[[#This Row],[ΔClose]]&lt;0,tblOI[[#This Row],[ΔOI]]&gt;0),"BUILD SHORT",
 IF(AND(tblOI[[#This Row],[ΔClose]]&gt;0,tblOI[[#This Row],[ΔOI]]&lt;0),"SHORT COVER",
 IF(AND(tblOI[[#This Row],[ΔClose]]&lt;0,tblOI[[#This Row],[ΔOI]]&lt;0),"LONG UNWIND","-")))))</f>
        <v>SHORT COVER</v>
      </c>
      <c r="O10">
        <f>IF(tblOI[[#This Row],[OI_Quadrant]]="","",1)</f>
        <v>1</v>
      </c>
      <c r="P10">
        <f>IF(tblOI[[#This Row],[ValidDay]]="","",SUMIFS(tblOI[ValidDay],tblOI[No.],"&lt;="&amp;tblOI[[#This Row],[No.]]))</f>
        <v>9</v>
      </c>
    </row>
    <row r="11" spans="1:16" x14ac:dyDescent="0.45">
      <c r="A11" s="31">
        <f>ROW()-ROW(tblOI[[#Headers],[No.]])</f>
        <v>10</v>
      </c>
      <c r="B11" s="6">
        <v>46063</v>
      </c>
      <c r="C11" s="36">
        <v>1960.8</v>
      </c>
      <c r="D11" s="36">
        <v>1966.1</v>
      </c>
      <c r="E11" s="36">
        <v>1980</v>
      </c>
      <c r="F11" s="39">
        <v>1930</v>
      </c>
      <c r="G11" s="7">
        <v>283888</v>
      </c>
      <c r="H11" s="5">
        <v>0</v>
      </c>
      <c r="I11" s="7">
        <v>42835</v>
      </c>
      <c r="J11" s="35">
        <v>1966.1</v>
      </c>
      <c r="K11" s="38" t="s">
        <v>195</v>
      </c>
      <c r="L11" s="34" cm="1">
        <f t="array" ref="L11">IFERROR(tblOI[[#This Row],[Close]]-INDEX(tblOI[Close],tblOI[[#This Row],[No.]]+1),"")</f>
        <v>10.399999999999864</v>
      </c>
      <c r="M11" s="37" cm="1">
        <f t="array" ref="M11">IFERROR(tblOI[[#This Row],[Open interest (OI)]]-INDEX(tblOI[Open interest (OI)],tblOI[[#This Row],[No.]]+1),"")</f>
        <v>2152</v>
      </c>
      <c r="N11" t="str">
        <f>IF(OR(tblOI[[#This Row],[ΔClose]]="",tblOI[[#This Row],[ΔOI]]=""),"",
 IF(AND(tblOI[[#This Row],[ΔClose]]&gt;0,tblOI[[#This Row],[ΔOI]]&gt;0),"BUILD LONG",
 IF(AND(tblOI[[#This Row],[ΔClose]]&lt;0,tblOI[[#This Row],[ΔOI]]&gt;0),"BUILD SHORT",
 IF(AND(tblOI[[#This Row],[ΔClose]]&gt;0,tblOI[[#This Row],[ΔOI]]&lt;0),"SHORT COVER",
 IF(AND(tblOI[[#This Row],[ΔClose]]&lt;0,tblOI[[#This Row],[ΔOI]]&lt;0),"LONG UNWIND","-")))))</f>
        <v>BUILD LONG</v>
      </c>
      <c r="O11">
        <f>IF(tblOI[[#This Row],[OI_Quadrant]]="","",1)</f>
        <v>1</v>
      </c>
      <c r="P11">
        <f>IF(tblOI[[#This Row],[ValidDay]]="","",SUMIFS(tblOI[ValidDay],tblOI[No.],"&lt;="&amp;tblOI[[#This Row],[No.]]))</f>
        <v>10</v>
      </c>
    </row>
    <row r="12" spans="1:16" x14ac:dyDescent="0.45">
      <c r="A12" s="31">
        <f>ROW()-ROW(tblOI[[#Headers],[No.]])</f>
        <v>11</v>
      </c>
      <c r="B12" s="6">
        <v>46062</v>
      </c>
      <c r="C12" s="36">
        <v>1964.3</v>
      </c>
      <c r="D12" s="36">
        <v>1955.7</v>
      </c>
      <c r="E12" s="36">
        <v>1970.4</v>
      </c>
      <c r="F12" s="36">
        <v>1952.3</v>
      </c>
      <c r="G12" s="7">
        <v>171339</v>
      </c>
      <c r="H12" s="5">
        <v>0</v>
      </c>
      <c r="I12" s="7">
        <v>40683</v>
      </c>
      <c r="J12" s="35">
        <v>1955.7</v>
      </c>
      <c r="K12" s="38" t="s">
        <v>196</v>
      </c>
      <c r="L12" s="34" cm="1">
        <f t="array" ref="L12">IFERROR(tblOI[[#This Row],[Close]]-INDEX(tblOI[Close],tblOI[[#This Row],[No.]]+1),"")</f>
        <v>4.4000000000000909</v>
      </c>
      <c r="M12" s="37" cm="1">
        <f t="array" ref="M12">IFERROR(tblOI[[#This Row],[Open interest (OI)]]-INDEX(tblOI[Open interest (OI)],tblOI[[#This Row],[No.]]+1),"")</f>
        <v>-4160</v>
      </c>
      <c r="N12" t="str">
        <f>IF(OR(tblOI[[#This Row],[ΔClose]]="",tblOI[[#This Row],[ΔOI]]=""),"",
 IF(AND(tblOI[[#This Row],[ΔClose]]&gt;0,tblOI[[#This Row],[ΔOI]]&gt;0),"BUILD LONG",
 IF(AND(tblOI[[#This Row],[ΔClose]]&lt;0,tblOI[[#This Row],[ΔOI]]&gt;0),"BUILD SHORT",
 IF(AND(tblOI[[#This Row],[ΔClose]]&gt;0,tblOI[[#This Row],[ΔOI]]&lt;0),"SHORT COVER",
 IF(AND(tblOI[[#This Row],[ΔClose]]&lt;0,tblOI[[#This Row],[ΔOI]]&lt;0),"LONG UNWIND","-")))))</f>
        <v>SHORT COVER</v>
      </c>
      <c r="O12">
        <f>IF(tblOI[[#This Row],[OI_Quadrant]]="","",1)</f>
        <v>1</v>
      </c>
      <c r="P12">
        <f>IF(tblOI[[#This Row],[ValidDay]]="","",SUMIFS(tblOI[ValidDay],tblOI[No.],"&lt;="&amp;tblOI[[#This Row],[No.]]))</f>
        <v>11</v>
      </c>
    </row>
    <row r="13" spans="1:16" x14ac:dyDescent="0.45">
      <c r="A13" s="31">
        <f>ROW()-ROW(tblOI[[#Headers],[No.]])</f>
        <v>12</v>
      </c>
      <c r="B13" s="6">
        <v>46059</v>
      </c>
      <c r="C13" s="39">
        <v>1961</v>
      </c>
      <c r="D13" s="39">
        <v>1951.3</v>
      </c>
      <c r="E13" s="39">
        <v>1971.8</v>
      </c>
      <c r="F13" s="39">
        <v>1948.6</v>
      </c>
      <c r="G13" s="7">
        <v>290480</v>
      </c>
      <c r="H13" s="5">
        <v>48</v>
      </c>
      <c r="I13" s="7">
        <v>44843</v>
      </c>
      <c r="J13" s="35">
        <v>1951.3</v>
      </c>
      <c r="K13" s="40" t="s">
        <v>197</v>
      </c>
      <c r="L13" s="34" cm="1">
        <f t="array" ref="L13">IFERROR(tblOI[[#This Row],[Close]]-INDEX(tblOI[Close],tblOI[[#This Row],[No.]]+1),"")</f>
        <v>-20.900000000000091</v>
      </c>
      <c r="M13" s="37" cm="1">
        <f t="array" ref="M13">IFERROR(tblOI[[#This Row],[Open interest (OI)]]-INDEX(tblOI[Open interest (OI)],tblOI[[#This Row],[No.]]+1),"")</f>
        <v>-1011</v>
      </c>
      <c r="N13" t="str">
        <f>IF(OR(tblOI[[#This Row],[ΔClose]]="",tblOI[[#This Row],[ΔOI]]=""),"",
 IF(AND(tblOI[[#This Row],[ΔClose]]&gt;0,tblOI[[#This Row],[ΔOI]]&gt;0),"BUILD LONG",
 IF(AND(tblOI[[#This Row],[ΔClose]]&lt;0,tblOI[[#This Row],[ΔOI]]&gt;0),"BUILD SHORT",
 IF(AND(tblOI[[#This Row],[ΔClose]]&gt;0,tblOI[[#This Row],[ΔOI]]&lt;0),"SHORT COVER",
 IF(AND(tblOI[[#This Row],[ΔClose]]&lt;0,tblOI[[#This Row],[ΔOI]]&lt;0),"LONG UNWIND","-")))))</f>
        <v>LONG UNWIND</v>
      </c>
      <c r="O13">
        <f>IF(tblOI[[#This Row],[OI_Quadrant]]="","",1)</f>
        <v>1</v>
      </c>
      <c r="P13">
        <f>IF(tblOI[[#This Row],[ValidDay]]="","",SUMIFS(tblOI[ValidDay],tblOI[No.],"&lt;="&amp;tblOI[[#This Row],[No.]]))</f>
        <v>12</v>
      </c>
    </row>
    <row r="14" spans="1:16" x14ac:dyDescent="0.45">
      <c r="A14" s="31">
        <f>ROW()-ROW(tblOI[[#Headers],[No.]])</f>
        <v>13</v>
      </c>
      <c r="B14" s="6">
        <v>46058</v>
      </c>
      <c r="C14" s="39">
        <v>2005.6</v>
      </c>
      <c r="D14" s="39">
        <v>1972.2</v>
      </c>
      <c r="E14" s="39">
        <v>2009.6</v>
      </c>
      <c r="F14" s="39">
        <v>1972.2</v>
      </c>
      <c r="G14" s="7">
        <v>281488</v>
      </c>
      <c r="H14" s="5">
        <v>0</v>
      </c>
      <c r="I14" s="7">
        <v>45854</v>
      </c>
      <c r="J14" s="35">
        <v>1972.2</v>
      </c>
      <c r="K14" s="40" t="s">
        <v>198</v>
      </c>
      <c r="L14" s="34" cm="1">
        <f t="array" ref="L14">IFERROR(tblOI[[#This Row],[Close]]-INDEX(tblOI[Close],tblOI[[#This Row],[No.]]+1),"")</f>
        <v>-37.799999999999955</v>
      </c>
      <c r="M14" s="37" cm="1">
        <f t="array" ref="M14">IFERROR(tblOI[[#This Row],[Open interest (OI)]]-INDEX(tblOI[Open interest (OI)],tblOI[[#This Row],[No.]]+1),"")</f>
        <v>1303</v>
      </c>
      <c r="N14" t="str">
        <f>IF(OR(tblOI[[#This Row],[ΔClose]]="",tblOI[[#This Row],[ΔOI]]=""),"",
 IF(AND(tblOI[[#This Row],[ΔClose]]&gt;0,tblOI[[#This Row],[ΔOI]]&gt;0),"BUILD LONG",
 IF(AND(tblOI[[#This Row],[ΔClose]]&lt;0,tblOI[[#This Row],[ΔOI]]&gt;0),"BUILD SHORT",
 IF(AND(tblOI[[#This Row],[ΔClose]]&gt;0,tblOI[[#This Row],[ΔOI]]&lt;0),"SHORT COVER",
 IF(AND(tblOI[[#This Row],[ΔClose]]&lt;0,tblOI[[#This Row],[ΔOI]]&lt;0),"LONG UNWIND","-")))))</f>
        <v>BUILD SHORT</v>
      </c>
      <c r="O14">
        <f>IF(tblOI[[#This Row],[OI_Quadrant]]="","",1)</f>
        <v>1</v>
      </c>
      <c r="P14">
        <f>IF(tblOI[[#This Row],[ValidDay]]="","",SUMIFS(tblOI[ValidDay],tblOI[No.],"&lt;="&amp;tblOI[[#This Row],[No.]]))</f>
        <v>13</v>
      </c>
    </row>
    <row r="15" spans="1:16" x14ac:dyDescent="0.45">
      <c r="A15" s="31">
        <f>ROW()-ROW(tblOI[[#Headers],[No.]])</f>
        <v>14</v>
      </c>
      <c r="B15" s="6">
        <v>46057</v>
      </c>
      <c r="C15" s="39">
        <v>1999.8</v>
      </c>
      <c r="D15" s="36">
        <v>2010</v>
      </c>
      <c r="E15" s="36">
        <v>2010</v>
      </c>
      <c r="F15" s="39">
        <v>1982.1</v>
      </c>
      <c r="G15" s="7">
        <v>300562</v>
      </c>
      <c r="H15" s="5">
        <v>0</v>
      </c>
      <c r="I15" s="7">
        <v>44551</v>
      </c>
      <c r="J15" s="35">
        <v>2010</v>
      </c>
      <c r="K15" s="38" t="s">
        <v>199</v>
      </c>
      <c r="L15" s="34" t="str" cm="1">
        <f t="array" ref="L15">IFERROR(tblOI[[#This Row],[Close]]-INDEX(tblOI[Close],tblOI[[#This Row],[No.]]+1),"")</f>
        <v/>
      </c>
      <c r="M15" s="37" t="str" cm="1">
        <f t="array" ref="M15">IFERROR(tblOI[[#This Row],[Open interest (OI)]]-INDEX(tblOI[Open interest (OI)],tblOI[[#This Row],[No.]]+1),"")</f>
        <v/>
      </c>
      <c r="N15" t="str">
        <f>IF(OR(tblOI[[#This Row],[ΔClose]]="",tblOI[[#This Row],[ΔOI]]=""),"",
 IF(AND(tblOI[[#This Row],[ΔClose]]&gt;0,tblOI[[#This Row],[ΔOI]]&gt;0),"BUILD LONG",
 IF(AND(tblOI[[#This Row],[ΔClose]]&lt;0,tblOI[[#This Row],[ΔOI]]&gt;0),"BUILD SHORT",
 IF(AND(tblOI[[#This Row],[ΔClose]]&gt;0,tblOI[[#This Row],[ΔOI]]&lt;0),"SHORT COVER",
 IF(AND(tblOI[[#This Row],[ΔClose]]&lt;0,tblOI[[#This Row],[ΔOI]]&lt;0),"LONG UNWIND","-")))))</f>
        <v/>
      </c>
      <c r="O15" t="str">
        <f>IF(tblOI[[#This Row],[OI_Quadrant]]="","",1)</f>
        <v/>
      </c>
      <c r="P15" t="str">
        <f>IF(tblOI[[#This Row],[ValidDay]]="","",SUMIFS(tblOI[ValidDay],tblOI[No.],"&lt;="&amp;tblOI[[#This Row],[No.]]))</f>
        <v/>
      </c>
    </row>
    <row r="16" spans="1:16" x14ac:dyDescent="0.45">
      <c r="L16" s="34" t="str">
        <f>IF(OR(B15="",B17="",B15=B17,I15="",I17=""),"",I15-I17)</f>
        <v/>
      </c>
      <c r="M16" s="37" t="str">
        <f>IF(OR(B15="",B17="",B15=B17,I15="",I17=""),"",I15-I17)</f>
        <v/>
      </c>
      <c r="N16" t="str">
        <f>IF(OR(L16="",M16=""),"",
 IF(AND(L16&gt;0,M16&gt;0),"BUILD LONG",
 IF(AND(L16&lt;0,M16&gt;0),"BUILD SHORT",
 IF(AND(L16&gt;0,M16&lt;0),"SHORT COVER",
 IF(AND(L16&lt;0,M16&lt;0),"LONG UNWIND","-")))))</f>
        <v/>
      </c>
      <c r="O16" t="str">
        <f>IF($N16="","",1)</f>
        <v/>
      </c>
      <c r="P16" t="str">
        <f>IF($O16="","",COUNT($O$6:$O16))</f>
        <v/>
      </c>
    </row>
    <row r="21" spans="2:3" x14ac:dyDescent="0.45">
      <c r="B21" s="31" t="s">
        <v>206</v>
      </c>
      <c r="C21" t="str">
        <f>IF(COUNT(tblOI[DayRank])&lt;3,"OI 3D: NA",
 IF(COUNTIFS(tblOI[DayRank],"&lt;=3",tblOI[OI_Quadrant],"BUILD LONG")&gt;=2,"OI 3D: LONG BUILD",
 IF(COUNTIFS(tblOI[DayRank],"&lt;=3",tblOI[OI_Quadrant],"BUILD SHORT")&gt;=2,"OI 3D: SHORT BUILD",
 IF(COUNTIFS(tblOI[DayRank],"&lt;=3",tblOI[OI_Quadrant],"SHORT COVER")&gt;=2,"OI 3D: SHORT COVER",
 IF(COUNTIFS(tblOI[DayRank],"&lt;=3",tblOI[OI_Quadrant],"LONG UNWIND")&gt;=2,"OI 3D: LONG UNWIND",
 "OI 3D: MIXED")))))</f>
        <v>OI 3D: MIXED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2941-87CD-4DED-8FA7-E83F65A9C3C7}">
  <dimension ref="A1:Z94"/>
  <sheetViews>
    <sheetView zoomScale="70" zoomScaleNormal="70" workbookViewId="0">
      <pane ySplit="13" topLeftCell="A14" activePane="bottomLeft" state="frozen"/>
      <selection activeCell="B25" sqref="B25"/>
      <selection pane="bottomLeft" activeCell="S24" sqref="S24"/>
    </sheetView>
  </sheetViews>
  <sheetFormatPr defaultRowHeight="14.25" x14ac:dyDescent="0.45"/>
  <cols>
    <col min="1" max="1" width="10.73046875" customWidth="1"/>
    <col min="2" max="2" width="6.6640625" customWidth="1"/>
    <col min="3" max="3" width="5.6640625" customWidth="1"/>
    <col min="4" max="4" width="12.19921875" customWidth="1"/>
    <col min="5" max="5" width="11" customWidth="1"/>
    <col min="6" max="6" width="20.3984375" customWidth="1"/>
    <col min="7" max="7" width="7.6640625" customWidth="1"/>
    <col min="8" max="8" width="8.1328125" customWidth="1"/>
    <col min="9" max="9" width="5.53125" customWidth="1"/>
    <col min="10" max="10" width="6.33203125" customWidth="1"/>
    <col min="11" max="11" width="8.06640625" customWidth="1"/>
    <col min="12" max="12" width="6.9296875" customWidth="1"/>
    <col min="13" max="13" width="13.33203125" customWidth="1"/>
    <col min="14" max="14" width="6.796875" customWidth="1"/>
    <col min="15" max="15" width="11" customWidth="1"/>
    <col min="16" max="16" width="6.265625" customWidth="1"/>
    <col min="17" max="17" width="12.86328125" customWidth="1"/>
    <col min="18" max="18" width="7.33203125" customWidth="1"/>
    <col min="19" max="19" width="8.73046875" customWidth="1"/>
    <col min="20" max="20" width="8.06640625" customWidth="1"/>
    <col min="21" max="21" width="13.33203125" customWidth="1"/>
    <col min="22" max="22" width="15.59765625" customWidth="1"/>
    <col min="23" max="23" width="16.9296875" customWidth="1"/>
    <col min="24" max="24" width="14.33203125" customWidth="1"/>
    <col min="25" max="25" width="9.46484375" customWidth="1"/>
    <col min="26" max="26" width="17.73046875" customWidth="1"/>
  </cols>
  <sheetData>
    <row r="1" spans="1:26" ht="18" x14ac:dyDescent="0.55000000000000004">
      <c r="A1" s="3" t="s">
        <v>88</v>
      </c>
      <c r="B1" s="3"/>
    </row>
    <row r="3" spans="1:26" x14ac:dyDescent="0.45">
      <c r="A3" s="4" t="s">
        <v>89</v>
      </c>
      <c r="B3" s="4"/>
    </row>
    <row r="4" spans="1:26" x14ac:dyDescent="0.45">
      <c r="A4" t="s">
        <v>212</v>
      </c>
    </row>
    <row r="8" spans="1:26" x14ac:dyDescent="0.45">
      <c r="A8" s="4" t="s">
        <v>90</v>
      </c>
      <c r="B8" s="4"/>
    </row>
    <row r="9" spans="1:26" ht="28.5" x14ac:dyDescent="0.45">
      <c r="A9" s="19" t="s">
        <v>91</v>
      </c>
      <c r="B9" s="19"/>
      <c r="C9" s="19" t="s">
        <v>92</v>
      </c>
      <c r="D9" s="19" t="s">
        <v>93</v>
      </c>
      <c r="E9" s="19" t="s">
        <v>94</v>
      </c>
      <c r="F9" s="19" t="s">
        <v>95</v>
      </c>
    </row>
    <row r="10" spans="1:26" x14ac:dyDescent="0.45">
      <c r="A10" s="20" t="s">
        <v>96</v>
      </c>
      <c r="B10" s="20"/>
      <c r="C10" s="20">
        <f>COUNTIF($D$14:$D$1996,"STRONG BULL")</f>
        <v>0</v>
      </c>
      <c r="D10" s="21" t="str">
        <f>IF($C10=0,"",COUNTIFS($D$14:$D$1996,"STRONG BULL",$Z$14:$Z$1996,"Continuation Up")/$C10)</f>
        <v/>
      </c>
      <c r="E10" s="21" t="str">
        <f>IF($C10=0,"",COUNTIFS($D$14:$D$1996,"STRONG BULL",$Z$14:$Z$1996,"Digest")/$C10)</f>
        <v/>
      </c>
      <c r="F10" s="21" t="str">
        <f>IF($C10=0,"",COUNTIFS($D$14:$D$1996,"STRONG BULL",$Z$14:$Z$1996,"Pullback")/$C10)</f>
        <v/>
      </c>
    </row>
    <row r="11" spans="1:26" x14ac:dyDescent="0.45">
      <c r="A11" s="20" t="s">
        <v>97</v>
      </c>
      <c r="B11" s="20"/>
      <c r="C11" s="20">
        <f>COUNTIF($D$14:$D$1996,"BULL")</f>
        <v>1</v>
      </c>
      <c r="D11" s="21">
        <f>IF($C11=0,"",COUNTIFS($D$14:$D$1996,"BULL",$Y$14:$Y$1996,"Continuation Up")/$C11)</f>
        <v>0</v>
      </c>
      <c r="E11" s="21">
        <f>IF($C11=0,"",COUNTIFS($D$14:$D$1996,"BULL",$Z$14:$Z$1996,"Digest")/$C11)</f>
        <v>0</v>
      </c>
      <c r="F11" s="21">
        <f>IF($C11=0,"",COUNTIFS($D$14:$D$1996,"BULL",$Y$14:$Y$1996,"Pullback")/$C11)</f>
        <v>0</v>
      </c>
    </row>
    <row r="12" spans="1:26" ht="42.75" x14ac:dyDescent="0.45">
      <c r="A12" s="19" t="s">
        <v>1</v>
      </c>
      <c r="B12" s="19" t="s">
        <v>214</v>
      </c>
      <c r="C12" s="19" t="s">
        <v>98</v>
      </c>
      <c r="D12" s="22" t="s">
        <v>99</v>
      </c>
      <c r="E12" s="22" t="s">
        <v>85</v>
      </c>
      <c r="F12" s="22" t="s">
        <v>100</v>
      </c>
      <c r="G12" s="19" t="s">
        <v>37</v>
      </c>
      <c r="H12" s="19" t="s">
        <v>38</v>
      </c>
      <c r="I12" s="19" t="s">
        <v>39</v>
      </c>
      <c r="J12" s="19" t="s">
        <v>40</v>
      </c>
      <c r="K12" s="19" t="s">
        <v>82</v>
      </c>
      <c r="L12" s="19" t="s">
        <v>83</v>
      </c>
      <c r="M12" s="19" t="s">
        <v>101</v>
      </c>
      <c r="N12" s="19" t="s">
        <v>102</v>
      </c>
      <c r="O12" s="19" t="s">
        <v>103</v>
      </c>
      <c r="P12" s="19" t="s">
        <v>104</v>
      </c>
      <c r="Q12" s="19" t="s">
        <v>112</v>
      </c>
      <c r="R12" s="19" t="s">
        <v>105</v>
      </c>
      <c r="S12" s="19" t="s">
        <v>106</v>
      </c>
      <c r="T12" s="19" t="s">
        <v>107</v>
      </c>
      <c r="U12" s="19" t="s">
        <v>41</v>
      </c>
      <c r="V12" s="19" t="s">
        <v>87</v>
      </c>
      <c r="W12" s="19" t="s">
        <v>113</v>
      </c>
      <c r="X12" s="19" t="s">
        <v>108</v>
      </c>
      <c r="Y12" s="19" t="s">
        <v>109</v>
      </c>
      <c r="Z12" s="19" t="s">
        <v>110</v>
      </c>
    </row>
    <row r="13" spans="1:26" x14ac:dyDescent="0.45">
      <c r="A13" s="23">
        <f ca="1">TODAY()</f>
        <v>46082</v>
      </c>
      <c r="B13" s="46">
        <f ca="1">TIME(HOUR(NOW()), MINUTE(NOW()), SECOND(NOW()))</f>
        <v>0.57420138888888894</v>
      </c>
      <c r="C13" s="20">
        <f>Dashboard!$E$3</f>
        <v>40</v>
      </c>
      <c r="D13" s="21" t="str">
        <f>Dashboard!$B$23</f>
        <v>DISTRIBUTION</v>
      </c>
      <c r="E13" s="25">
        <f>Dashboard!E15</f>
        <v>37</v>
      </c>
      <c r="F13" s="21" t="str">
        <f>Dashboard!E16</f>
        <v>SIDEWAY / TRAP ZONE</v>
      </c>
      <c r="G13" s="20">
        <f>Dashboard!B3</f>
        <v>10</v>
      </c>
      <c r="H13" s="27">
        <f>Dashboard!B4</f>
        <v>19</v>
      </c>
      <c r="I13" s="26">
        <f>Dashboard!B5</f>
        <v>0.33333333333333331</v>
      </c>
      <c r="J13" s="26">
        <f>Dashboard!B6</f>
        <v>0.6333333333333333</v>
      </c>
      <c r="K13" s="24">
        <f>Dashboard!B18</f>
        <v>0.1</v>
      </c>
      <c r="L13" s="24">
        <f>Dashboard!B19</f>
        <v>0.46666666666666667</v>
      </c>
      <c r="M13" s="28">
        <f>Dashboard!B11</f>
        <v>-0.24836385826930366</v>
      </c>
      <c r="N13" s="28">
        <f>Dashboard!E13</f>
        <v>47.51636141730696</v>
      </c>
      <c r="O13" s="28">
        <f>Dashboard!E14</f>
        <v>56.736798882994023</v>
      </c>
      <c r="P13" s="28">
        <f>Dashboard!B16</f>
        <v>1.0791091989793697</v>
      </c>
      <c r="Q13" s="28">
        <f>Dashboard!B17</f>
        <v>-0.85623575224242843</v>
      </c>
      <c r="R13" s="20" t="str">
        <f>Dashboard!E17</f>
        <v>LOW</v>
      </c>
      <c r="S13" s="20">
        <f>Dashboard!E5</f>
        <v>49</v>
      </c>
      <c r="T13" s="20">
        <f>Dashboard!E6</f>
        <v>12</v>
      </c>
      <c r="U13" s="28">
        <f>Dashboard!B13</f>
        <v>-0.26801172415241398</v>
      </c>
      <c r="V13" s="28">
        <f>Dashboard!B14</f>
        <v>0.21265801501504911</v>
      </c>
      <c r="W13" s="28">
        <f>Dashboard!B15</f>
        <v>-0.46102187328435285</v>
      </c>
      <c r="X13" s="20">
        <f>IF($A14="","",$M14)</f>
        <v>1.9084063760675525</v>
      </c>
      <c r="Y13" s="20">
        <f>IF($A14="","",$E14)</f>
        <v>73</v>
      </c>
      <c r="Z13" s="20" t="str">
        <f>IF($A14="","",IF(X13&gt;=0.5,"Continuation Up",IF(X13&lt;=-0.5,"Pullback","Digest")))</f>
        <v>Continuation Up</v>
      </c>
    </row>
    <row r="14" spans="1:26" x14ac:dyDescent="0.45">
      <c r="A14" s="23">
        <v>46076</v>
      </c>
      <c r="B14" s="46">
        <v>0.61519675925925921</v>
      </c>
      <c r="C14" s="20">
        <v>75</v>
      </c>
      <c r="D14" s="21" t="s">
        <v>97</v>
      </c>
      <c r="E14" s="25">
        <v>73</v>
      </c>
      <c r="F14" s="21" t="s">
        <v>111</v>
      </c>
      <c r="G14" s="20">
        <v>26</v>
      </c>
      <c r="H14" s="27">
        <v>3</v>
      </c>
      <c r="I14" s="26">
        <v>0.8666666666666667</v>
      </c>
      <c r="J14" s="26">
        <v>0.1</v>
      </c>
      <c r="K14" s="24">
        <v>0.36666666666666664</v>
      </c>
      <c r="L14" s="24">
        <v>3.3333333333333333E-2</v>
      </c>
      <c r="M14" s="28">
        <v>1.9084063760675525</v>
      </c>
      <c r="N14" s="28">
        <v>69.084063760675519</v>
      </c>
      <c r="O14" s="28">
        <v>56.922453490685072</v>
      </c>
      <c r="P14" s="28">
        <v>0.4157168945200832</v>
      </c>
      <c r="Q14" s="28">
        <v>0.68136738530892538</v>
      </c>
      <c r="R14" s="20" t="s">
        <v>114</v>
      </c>
      <c r="S14" s="20">
        <v>13</v>
      </c>
      <c r="T14" s="20">
        <v>60</v>
      </c>
      <c r="U14" s="28">
        <v>0.79335677214112899</v>
      </c>
      <c r="V14" s="28">
        <v>1.3003258625680301</v>
      </c>
      <c r="W14" s="28">
        <v>0.60808051349952275</v>
      </c>
      <c r="X14" s="20">
        <f>IF($A15="","",$M15)</f>
        <v>0.79179379586590914</v>
      </c>
      <c r="Y14" s="20">
        <f>IF($A15="","",$E15)</f>
        <v>54</v>
      </c>
      <c r="Z14" s="20" t="str">
        <f>IF($A15="","",IF(X14&gt;=0.5,"Continuation Up",IF(X14&lt;=-0.5,"Pullback","Digest")))</f>
        <v>Continuation Up</v>
      </c>
    </row>
    <row r="15" spans="1:26" x14ac:dyDescent="0.45">
      <c r="A15" s="23">
        <v>46077</v>
      </c>
      <c r="B15" s="46">
        <v>0.61519675925925921</v>
      </c>
      <c r="C15" s="20">
        <v>57</v>
      </c>
      <c r="D15" s="21" t="s">
        <v>208</v>
      </c>
      <c r="E15" s="25">
        <v>54</v>
      </c>
      <c r="F15" s="21" t="s">
        <v>209</v>
      </c>
      <c r="G15" s="20">
        <v>16</v>
      </c>
      <c r="H15" s="27">
        <v>14</v>
      </c>
      <c r="I15" s="26">
        <v>0.53333333333333333</v>
      </c>
      <c r="J15" s="26">
        <v>0.46666666666666667</v>
      </c>
      <c r="K15" s="24">
        <v>0.26666666666666666</v>
      </c>
      <c r="L15" s="24">
        <v>0.2</v>
      </c>
      <c r="M15" s="28">
        <v>0.79179379586590914</v>
      </c>
      <c r="N15" s="28">
        <v>57.917937958659095</v>
      </c>
      <c r="O15" s="28">
        <v>51.09052862489068</v>
      </c>
      <c r="P15" s="28">
        <v>-3.1916174687410113E-2</v>
      </c>
      <c r="Q15" s="28">
        <v>0.56886443355482919</v>
      </c>
      <c r="R15" s="20" t="s">
        <v>114</v>
      </c>
      <c r="S15" s="20">
        <v>33</v>
      </c>
      <c r="T15" s="20">
        <v>38</v>
      </c>
      <c r="U15" s="28">
        <v>-2.5271029105263902E-2</v>
      </c>
      <c r="V15" s="28">
        <v>0.45042332917748845</v>
      </c>
      <c r="W15" s="28">
        <v>0.34137046668842075</v>
      </c>
      <c r="X15" s="20">
        <f>IF($A16="","",$M16)</f>
        <v>1.3815982503667668E-2</v>
      </c>
      <c r="Y15" s="20">
        <f>IF($A16="","",$E16)</f>
        <v>51</v>
      </c>
      <c r="Z15" s="20" t="str">
        <f>IF($A16="","",IF(X15&gt;=0.5,"Continuation Up",IF(X15&lt;=-0.5,"Pullback","Digest")))</f>
        <v>Digest</v>
      </c>
    </row>
    <row r="16" spans="1:26" x14ac:dyDescent="0.45">
      <c r="A16" s="23">
        <v>46078</v>
      </c>
      <c r="B16" s="46">
        <v>0.61519675925925921</v>
      </c>
      <c r="C16" s="20">
        <v>52</v>
      </c>
      <c r="D16" s="21" t="s">
        <v>208</v>
      </c>
      <c r="E16" s="25">
        <v>51</v>
      </c>
      <c r="F16" s="21" t="s">
        <v>209</v>
      </c>
      <c r="G16" s="20">
        <v>17</v>
      </c>
      <c r="H16" s="27">
        <v>13</v>
      </c>
      <c r="I16" s="26">
        <v>0.56666666666666665</v>
      </c>
      <c r="J16" s="26">
        <v>0.43333333333333335</v>
      </c>
      <c r="K16" s="24">
        <v>0.13333333333333333</v>
      </c>
      <c r="L16" s="24">
        <v>0.2</v>
      </c>
      <c r="M16" s="28">
        <v>1.3815982503667668E-2</v>
      </c>
      <c r="N16" s="28">
        <v>50.138159825036674</v>
      </c>
      <c r="O16" s="28">
        <v>45.265792450056551</v>
      </c>
      <c r="P16" s="28">
        <v>32.651624381501421</v>
      </c>
      <c r="Q16" s="28">
        <v>-16.633083183503885</v>
      </c>
      <c r="R16" s="20" t="s">
        <v>114</v>
      </c>
      <c r="S16" s="20">
        <v>29</v>
      </c>
      <c r="T16" s="20">
        <v>0</v>
      </c>
      <c r="U16" s="28">
        <v>0.45111427117115221</v>
      </c>
      <c r="V16" s="28">
        <v>-0.22980238624533861</v>
      </c>
      <c r="W16" s="28">
        <v>0.24361836874900622</v>
      </c>
      <c r="X16" s="20">
        <f t="shared" ref="X16:X79" si="0">IF($A17="","",$M17)</f>
        <v>0.53692775006075077</v>
      </c>
      <c r="Y16" s="20">
        <f t="shared" ref="Y16:Y79" si="1">IF($A17="","",$E17)</f>
        <v>48</v>
      </c>
      <c r="Z16" s="20" t="str">
        <f t="shared" ref="Z16:Z79" si="2">IF($A17="","",IF(X16&gt;=0.5,"Continuation Up",IF(X16&lt;=-0.5,"Pullback","Digest")))</f>
        <v>Continuation Up</v>
      </c>
    </row>
    <row r="17" spans="1:26" x14ac:dyDescent="0.45">
      <c r="A17" s="23">
        <v>46079</v>
      </c>
      <c r="B17" s="46">
        <v>0.41230324074074076</v>
      </c>
      <c r="C17" s="20">
        <v>55</v>
      </c>
      <c r="D17" s="21" t="s">
        <v>208</v>
      </c>
      <c r="E17" s="25">
        <v>48</v>
      </c>
      <c r="F17" s="21" t="s">
        <v>209</v>
      </c>
      <c r="G17" s="20">
        <v>15</v>
      </c>
      <c r="H17" s="27">
        <v>10</v>
      </c>
      <c r="I17" s="26">
        <v>0.5</v>
      </c>
      <c r="J17" s="26">
        <v>0.33333333333333331</v>
      </c>
      <c r="K17" s="24">
        <v>0.1</v>
      </c>
      <c r="L17" s="24">
        <v>0.3</v>
      </c>
      <c r="M17" s="28">
        <v>0.53692775006075077</v>
      </c>
      <c r="N17" s="28">
        <v>55.36927750060751</v>
      </c>
      <c r="O17" s="28">
        <v>56.02761645901397</v>
      </c>
      <c r="P17" s="28">
        <v>0.25353593603763919</v>
      </c>
      <c r="Q17" s="28">
        <v>1.0613061029469955</v>
      </c>
      <c r="R17" s="20" t="s">
        <v>114</v>
      </c>
      <c r="S17" s="20">
        <v>29</v>
      </c>
      <c r="T17" s="20">
        <v>20</v>
      </c>
      <c r="U17" s="28">
        <v>0.13613047969623604</v>
      </c>
      <c r="V17" s="28">
        <v>0.56984469798107384</v>
      </c>
      <c r="W17" s="28">
        <v>-0.20728822203510852</v>
      </c>
      <c r="X17" s="20">
        <f t="shared" si="0"/>
        <v>0.50660458906883599</v>
      </c>
      <c r="Y17" s="20">
        <f t="shared" si="1"/>
        <v>34</v>
      </c>
      <c r="Z17" s="20" t="str">
        <f t="shared" si="2"/>
        <v>Continuation Up</v>
      </c>
    </row>
    <row r="18" spans="1:26" x14ac:dyDescent="0.45">
      <c r="A18" s="23">
        <v>46079</v>
      </c>
      <c r="B18" s="46">
        <v>0.48533564814814817</v>
      </c>
      <c r="C18" s="20">
        <v>42</v>
      </c>
      <c r="D18" s="21" t="s">
        <v>226</v>
      </c>
      <c r="E18" s="25">
        <v>34</v>
      </c>
      <c r="F18" s="21" t="s">
        <v>209</v>
      </c>
      <c r="G18" s="20">
        <v>9</v>
      </c>
      <c r="H18" s="27">
        <v>18</v>
      </c>
      <c r="I18" s="26">
        <v>0.3</v>
      </c>
      <c r="J18" s="26">
        <v>0.6</v>
      </c>
      <c r="K18" s="24">
        <v>0.1</v>
      </c>
      <c r="L18" s="24">
        <v>0.7</v>
      </c>
      <c r="M18" s="28">
        <v>0.50660458906883599</v>
      </c>
      <c r="N18" s="28">
        <v>55.066045890688358</v>
      </c>
      <c r="O18" s="28">
        <v>60.131366270494055</v>
      </c>
      <c r="P18" s="28">
        <v>-0.15216201738585142</v>
      </c>
      <c r="Q18" s="28">
        <v>1.4999283947581292</v>
      </c>
      <c r="R18" s="20" t="s">
        <v>114</v>
      </c>
      <c r="S18" s="20">
        <v>53</v>
      </c>
      <c r="T18" s="20">
        <v>0</v>
      </c>
      <c r="U18" s="28">
        <v>-7.7085976289644337E-2</v>
      </c>
      <c r="V18" s="28">
        <v>0.75987060805912088</v>
      </c>
      <c r="W18" s="28">
        <v>-0.25326601899028489</v>
      </c>
      <c r="X18" s="20">
        <f t="shared" si="0"/>
        <v>1.0362835442531639</v>
      </c>
      <c r="Y18" s="20">
        <f t="shared" si="1"/>
        <v>54</v>
      </c>
      <c r="Z18" s="20" t="str">
        <f t="shared" si="2"/>
        <v>Continuation Up</v>
      </c>
    </row>
    <row r="19" spans="1:26" x14ac:dyDescent="0.45">
      <c r="A19" s="23">
        <v>46079</v>
      </c>
      <c r="B19" s="46">
        <v>0.6169675925925926</v>
      </c>
      <c r="C19" s="20">
        <v>60</v>
      </c>
      <c r="D19" s="21" t="s">
        <v>228</v>
      </c>
      <c r="E19" s="25">
        <v>54</v>
      </c>
      <c r="F19" s="21" t="s">
        <v>209</v>
      </c>
      <c r="G19" s="20">
        <v>16</v>
      </c>
      <c r="H19" s="27">
        <v>10</v>
      </c>
      <c r="I19" s="26">
        <v>0.53333333333333333</v>
      </c>
      <c r="J19" s="26">
        <v>0.33333333333333331</v>
      </c>
      <c r="K19" s="24">
        <v>0.2</v>
      </c>
      <c r="L19" s="24">
        <v>0.13333333333333333</v>
      </c>
      <c r="M19" s="28">
        <v>1.0362835442531639</v>
      </c>
      <c r="N19" s="28">
        <v>60.36283544253164</v>
      </c>
      <c r="O19" s="28">
        <v>59.850275554133319</v>
      </c>
      <c r="P19" s="28">
        <v>0.15495538798843544</v>
      </c>
      <c r="Q19" s="28">
        <v>0.97526932222166474</v>
      </c>
      <c r="R19" s="20" t="s">
        <v>114</v>
      </c>
      <c r="S19" s="20">
        <v>25</v>
      </c>
      <c r="T19" s="20">
        <v>30</v>
      </c>
      <c r="U19" s="28">
        <v>0.16057771866578002</v>
      </c>
      <c r="V19" s="28">
        <v>1.0106555498332477</v>
      </c>
      <c r="W19" s="28">
        <v>2.562799441991627E-2</v>
      </c>
      <c r="X19" s="20">
        <f>IF($A20="","",$M20)</f>
        <v>-0.14296731450971772</v>
      </c>
      <c r="Y19" s="20">
        <f>IF($A20="","",$E20)</f>
        <v>41</v>
      </c>
      <c r="Z19" s="20" t="str">
        <f>IF($A20="","",IF(X19&gt;=0.5,"Continuation Up",IF(X19&lt;=-0.5,"Pullback","Digest")))</f>
        <v>Digest</v>
      </c>
    </row>
    <row r="20" spans="1:26" x14ac:dyDescent="0.45">
      <c r="A20" s="23">
        <v>46080</v>
      </c>
      <c r="B20" s="46">
        <v>0.48293981481481479</v>
      </c>
      <c r="C20" s="20">
        <v>39</v>
      </c>
      <c r="D20" s="21" t="s">
        <v>226</v>
      </c>
      <c r="E20" s="25">
        <v>41</v>
      </c>
      <c r="F20" s="21" t="s">
        <v>209</v>
      </c>
      <c r="G20" s="20">
        <v>8</v>
      </c>
      <c r="H20" s="27">
        <v>19</v>
      </c>
      <c r="I20" s="26">
        <v>0.26666666666666666</v>
      </c>
      <c r="J20" s="26">
        <v>0.6333333333333333</v>
      </c>
      <c r="K20" s="24">
        <v>6.6666666666666666E-2</v>
      </c>
      <c r="L20" s="24">
        <v>0.23333333333333334</v>
      </c>
      <c r="M20" s="28">
        <v>-0.14296731450971772</v>
      </c>
      <c r="N20" s="28">
        <v>48.570326854902824</v>
      </c>
      <c r="O20" s="28">
        <v>53.319943499152487</v>
      </c>
      <c r="P20" s="28">
        <v>0.83818401363073214</v>
      </c>
      <c r="Q20" s="28">
        <v>-0.66108479428940525</v>
      </c>
      <c r="R20" s="20" t="s">
        <v>114</v>
      </c>
      <c r="S20" s="20">
        <v>39</v>
      </c>
      <c r="T20" s="20">
        <v>16</v>
      </c>
      <c r="U20" s="28">
        <v>-0.1198329174937624</v>
      </c>
      <c r="V20" s="28">
        <v>9.4513517702765448E-2</v>
      </c>
      <c r="W20" s="28">
        <v>-0.23748083221248317</v>
      </c>
      <c r="X20" s="20">
        <f>IF($A21="","",$M21)</f>
        <v>-0.26610661686234488</v>
      </c>
      <c r="Y20" s="20">
        <f>IF($A21="","",$E21)</f>
        <v>37</v>
      </c>
      <c r="Z20" s="20" t="str">
        <f>IF($A21="","",IF(X20&gt;=0.5,"Continuation Up",IF(X20&lt;=-0.5,"Pullback","Digest")))</f>
        <v>Digest</v>
      </c>
    </row>
    <row r="21" spans="1:26" x14ac:dyDescent="0.45">
      <c r="A21" s="23">
        <v>46080</v>
      </c>
      <c r="B21" s="46">
        <v>0.64567129629629627</v>
      </c>
      <c r="C21" s="20">
        <v>41</v>
      </c>
      <c r="D21" s="21" t="s">
        <v>226</v>
      </c>
      <c r="E21" s="25">
        <v>37</v>
      </c>
      <c r="F21" s="21" t="s">
        <v>209</v>
      </c>
      <c r="G21" s="20">
        <v>10</v>
      </c>
      <c r="H21" s="27">
        <v>19</v>
      </c>
      <c r="I21" s="26">
        <v>0.33333333333333331</v>
      </c>
      <c r="J21" s="26">
        <v>0.6333333333333333</v>
      </c>
      <c r="K21" s="24">
        <v>0.1</v>
      </c>
      <c r="L21" s="24">
        <v>0.46666666666666667</v>
      </c>
      <c r="M21" s="28">
        <v>-0.26610661686234488</v>
      </c>
      <c r="N21" s="28">
        <v>47.338933831376551</v>
      </c>
      <c r="O21" s="28">
        <v>57.492227426542783</v>
      </c>
      <c r="P21" s="28">
        <v>1.1090561560207359</v>
      </c>
      <c r="Q21" s="28">
        <v>-0.90774917867195715</v>
      </c>
      <c r="R21" s="20" t="s">
        <v>114</v>
      </c>
      <c r="S21" s="20">
        <v>49</v>
      </c>
      <c r="T21" s="20">
        <v>11</v>
      </c>
      <c r="U21" s="28">
        <v>-0.29512718158903495</v>
      </c>
      <c r="V21" s="28">
        <v>0.24155806289596674</v>
      </c>
      <c r="W21" s="28">
        <v>-0.50766467975831153</v>
      </c>
      <c r="X21" s="20" t="str">
        <f>IF($A22="","",$M22)</f>
        <v/>
      </c>
      <c r="Y21" s="20" t="str">
        <f>IF($A22="","",$E22)</f>
        <v/>
      </c>
      <c r="Z21" s="20" t="str">
        <f>IF($A22="","",IF(X21&gt;=0.5,"Continuation Up",IF(X21&lt;=-0.5,"Pullback","Digest")))</f>
        <v/>
      </c>
    </row>
    <row r="22" spans="1:26" x14ac:dyDescent="0.45">
      <c r="A22" s="23"/>
      <c r="B22" s="46"/>
      <c r="C22" s="20"/>
      <c r="D22" s="21"/>
      <c r="E22" s="25"/>
      <c r="F22" s="21"/>
      <c r="G22" s="20"/>
      <c r="H22" s="27"/>
      <c r="I22" s="26"/>
      <c r="J22" s="26"/>
      <c r="K22" s="24"/>
      <c r="L22" s="24"/>
      <c r="M22" s="28"/>
      <c r="N22" s="28"/>
      <c r="O22" s="28"/>
      <c r="P22" s="28"/>
      <c r="Q22" s="28"/>
      <c r="R22" s="20"/>
      <c r="S22" s="20"/>
      <c r="T22" s="20"/>
      <c r="U22" s="28"/>
      <c r="V22" s="28"/>
      <c r="W22" s="28"/>
      <c r="X22" s="20" t="str">
        <f t="shared" si="0"/>
        <v/>
      </c>
      <c r="Y22" s="20" t="str">
        <f t="shared" si="1"/>
        <v/>
      </c>
      <c r="Z22" s="20" t="str">
        <f t="shared" si="2"/>
        <v/>
      </c>
    </row>
    <row r="23" spans="1:26" x14ac:dyDescent="0.45">
      <c r="A23" s="23"/>
      <c r="B23" s="46"/>
      <c r="C23" s="20"/>
      <c r="D23" s="21"/>
      <c r="E23" s="25"/>
      <c r="F23" s="21"/>
      <c r="G23" s="20"/>
      <c r="H23" s="27"/>
      <c r="I23" s="26"/>
      <c r="J23" s="26"/>
      <c r="K23" s="24"/>
      <c r="L23" s="24"/>
      <c r="M23" s="28"/>
      <c r="N23" s="28"/>
      <c r="O23" s="28"/>
      <c r="P23" s="28"/>
      <c r="Q23" s="28"/>
      <c r="R23" s="20"/>
      <c r="S23" s="20"/>
      <c r="T23" s="20"/>
      <c r="U23" s="28"/>
      <c r="V23" s="28"/>
      <c r="W23" s="28"/>
      <c r="X23" s="20" t="str">
        <f t="shared" si="0"/>
        <v/>
      </c>
      <c r="Y23" s="20" t="str">
        <f t="shared" si="1"/>
        <v/>
      </c>
      <c r="Z23" s="20" t="str">
        <f t="shared" si="2"/>
        <v/>
      </c>
    </row>
    <row r="24" spans="1:26" x14ac:dyDescent="0.45">
      <c r="A24" s="23"/>
      <c r="B24" s="46"/>
      <c r="C24" s="20"/>
      <c r="D24" s="21"/>
      <c r="E24" s="25"/>
      <c r="F24" s="21"/>
      <c r="G24" s="20"/>
      <c r="H24" s="27"/>
      <c r="I24" s="26"/>
      <c r="J24" s="26"/>
      <c r="K24" s="24"/>
      <c r="L24" s="24"/>
      <c r="M24" s="28"/>
      <c r="N24" s="28"/>
      <c r="O24" s="28"/>
      <c r="P24" s="28"/>
      <c r="Q24" s="28"/>
      <c r="R24" s="20"/>
      <c r="S24" s="20"/>
      <c r="T24" s="20"/>
      <c r="U24" s="28"/>
      <c r="V24" s="28"/>
      <c r="W24" s="28"/>
      <c r="X24" s="20" t="str">
        <f t="shared" si="0"/>
        <v/>
      </c>
      <c r="Y24" s="20" t="str">
        <f t="shared" si="1"/>
        <v/>
      </c>
      <c r="Z24" s="20" t="str">
        <f t="shared" si="2"/>
        <v/>
      </c>
    </row>
    <row r="25" spans="1:26" x14ac:dyDescent="0.45">
      <c r="A25" s="23"/>
      <c r="B25" s="46"/>
      <c r="C25" s="20"/>
      <c r="D25" s="21"/>
      <c r="E25" s="25"/>
      <c r="F25" s="21"/>
      <c r="G25" s="20"/>
      <c r="H25" s="27"/>
      <c r="I25" s="26"/>
      <c r="J25" s="26"/>
      <c r="K25" s="24"/>
      <c r="L25" s="24"/>
      <c r="M25" s="28"/>
      <c r="N25" s="28"/>
      <c r="O25" s="28"/>
      <c r="P25" s="28"/>
      <c r="Q25" s="28"/>
      <c r="R25" s="20"/>
      <c r="S25" s="20"/>
      <c r="T25" s="20"/>
      <c r="U25" s="28"/>
      <c r="V25" s="28"/>
      <c r="W25" s="28"/>
      <c r="X25" s="20" t="str">
        <f t="shared" si="0"/>
        <v/>
      </c>
      <c r="Y25" s="20" t="str">
        <f t="shared" si="1"/>
        <v/>
      </c>
      <c r="Z25" s="20" t="str">
        <f t="shared" si="2"/>
        <v/>
      </c>
    </row>
    <row r="26" spans="1:26" x14ac:dyDescent="0.45">
      <c r="A26" s="23"/>
      <c r="B26" s="46"/>
      <c r="C26" s="20"/>
      <c r="D26" s="21"/>
      <c r="E26" s="25"/>
      <c r="F26" s="21"/>
      <c r="G26" s="20"/>
      <c r="H26" s="27"/>
      <c r="I26" s="26"/>
      <c r="J26" s="26"/>
      <c r="K26" s="24"/>
      <c r="L26" s="24"/>
      <c r="M26" s="28"/>
      <c r="N26" s="28"/>
      <c r="O26" s="28"/>
      <c r="P26" s="28"/>
      <c r="Q26" s="28"/>
      <c r="R26" s="20"/>
      <c r="S26" s="20"/>
      <c r="T26" s="20"/>
      <c r="U26" s="28"/>
      <c r="V26" s="28"/>
      <c r="W26" s="28"/>
      <c r="X26" s="20" t="str">
        <f t="shared" si="0"/>
        <v/>
      </c>
      <c r="Y26" s="20" t="str">
        <f t="shared" si="1"/>
        <v/>
      </c>
      <c r="Z26" s="20" t="str">
        <f t="shared" si="2"/>
        <v/>
      </c>
    </row>
    <row r="27" spans="1:26" x14ac:dyDescent="0.45">
      <c r="A27" s="23"/>
      <c r="B27" s="46"/>
      <c r="C27" s="20"/>
      <c r="D27" s="21"/>
      <c r="E27" s="25"/>
      <c r="F27" s="21"/>
      <c r="G27" s="20"/>
      <c r="H27" s="27"/>
      <c r="I27" s="26"/>
      <c r="J27" s="26"/>
      <c r="K27" s="24"/>
      <c r="L27" s="24"/>
      <c r="M27" s="28"/>
      <c r="N27" s="28"/>
      <c r="O27" s="28"/>
      <c r="P27" s="28"/>
      <c r="Q27" s="28"/>
      <c r="R27" s="20"/>
      <c r="S27" s="20"/>
      <c r="T27" s="20"/>
      <c r="U27" s="28"/>
      <c r="V27" s="28"/>
      <c r="W27" s="28"/>
      <c r="X27" s="20" t="str">
        <f t="shared" si="0"/>
        <v/>
      </c>
      <c r="Y27" s="20" t="str">
        <f t="shared" si="1"/>
        <v/>
      </c>
      <c r="Z27" s="20" t="str">
        <f t="shared" si="2"/>
        <v/>
      </c>
    </row>
    <row r="28" spans="1:26" x14ac:dyDescent="0.45">
      <c r="A28" s="23"/>
      <c r="B28" s="46"/>
      <c r="C28" s="20"/>
      <c r="D28" s="21"/>
      <c r="E28" s="25"/>
      <c r="F28" s="21"/>
      <c r="G28" s="20"/>
      <c r="H28" s="27"/>
      <c r="I28" s="26"/>
      <c r="J28" s="26"/>
      <c r="K28" s="24"/>
      <c r="L28" s="24"/>
      <c r="M28" s="28"/>
      <c r="N28" s="28"/>
      <c r="O28" s="28"/>
      <c r="P28" s="28"/>
      <c r="Q28" s="28"/>
      <c r="R28" s="20"/>
      <c r="S28" s="20"/>
      <c r="T28" s="20"/>
      <c r="U28" s="28"/>
      <c r="V28" s="28"/>
      <c r="W28" s="28"/>
      <c r="X28" s="20" t="str">
        <f t="shared" si="0"/>
        <v/>
      </c>
      <c r="Y28" s="20" t="str">
        <f t="shared" si="1"/>
        <v/>
      </c>
      <c r="Z28" s="20" t="str">
        <f t="shared" si="2"/>
        <v/>
      </c>
    </row>
    <row r="29" spans="1:26" x14ac:dyDescent="0.45">
      <c r="A29" s="23"/>
      <c r="B29" s="46"/>
      <c r="C29" s="20"/>
      <c r="D29" s="21"/>
      <c r="E29" s="25"/>
      <c r="F29" s="21"/>
      <c r="G29" s="20"/>
      <c r="H29" s="27"/>
      <c r="I29" s="26"/>
      <c r="J29" s="26"/>
      <c r="K29" s="24"/>
      <c r="L29" s="24"/>
      <c r="M29" s="28"/>
      <c r="N29" s="28"/>
      <c r="O29" s="28"/>
      <c r="P29" s="28"/>
      <c r="Q29" s="28"/>
      <c r="R29" s="20"/>
      <c r="S29" s="20"/>
      <c r="T29" s="20"/>
      <c r="U29" s="28"/>
      <c r="V29" s="28"/>
      <c r="W29" s="28"/>
      <c r="X29" s="20" t="str">
        <f t="shared" si="0"/>
        <v/>
      </c>
      <c r="Y29" s="20" t="str">
        <f t="shared" si="1"/>
        <v/>
      </c>
      <c r="Z29" s="20" t="str">
        <f t="shared" si="2"/>
        <v/>
      </c>
    </row>
    <row r="30" spans="1:26" x14ac:dyDescent="0.45">
      <c r="A30" s="23"/>
      <c r="B30" s="46"/>
      <c r="C30" s="20"/>
      <c r="D30" s="21"/>
      <c r="E30" s="25"/>
      <c r="F30" s="21"/>
      <c r="G30" s="20"/>
      <c r="H30" s="27"/>
      <c r="I30" s="26"/>
      <c r="J30" s="26"/>
      <c r="K30" s="24"/>
      <c r="L30" s="24"/>
      <c r="M30" s="28"/>
      <c r="N30" s="28"/>
      <c r="O30" s="28"/>
      <c r="P30" s="28"/>
      <c r="Q30" s="28"/>
      <c r="R30" s="20"/>
      <c r="S30" s="20"/>
      <c r="T30" s="20"/>
      <c r="U30" s="28"/>
      <c r="V30" s="28"/>
      <c r="W30" s="28"/>
      <c r="X30" s="20" t="str">
        <f t="shared" si="0"/>
        <v/>
      </c>
      <c r="Y30" s="20" t="str">
        <f t="shared" si="1"/>
        <v/>
      </c>
      <c r="Z30" s="20" t="str">
        <f t="shared" si="2"/>
        <v/>
      </c>
    </row>
    <row r="31" spans="1:26" x14ac:dyDescent="0.45">
      <c r="A31" s="23"/>
      <c r="B31" s="46"/>
      <c r="C31" s="20"/>
      <c r="D31" s="21"/>
      <c r="E31" s="25"/>
      <c r="F31" s="21"/>
      <c r="G31" s="20"/>
      <c r="H31" s="27"/>
      <c r="I31" s="26"/>
      <c r="J31" s="26"/>
      <c r="K31" s="24"/>
      <c r="L31" s="24"/>
      <c r="M31" s="28"/>
      <c r="N31" s="28"/>
      <c r="O31" s="28"/>
      <c r="P31" s="28"/>
      <c r="Q31" s="28"/>
      <c r="R31" s="20"/>
      <c r="S31" s="20"/>
      <c r="T31" s="20"/>
      <c r="U31" s="28"/>
      <c r="V31" s="28"/>
      <c r="W31" s="28"/>
      <c r="X31" s="20" t="str">
        <f t="shared" si="0"/>
        <v/>
      </c>
      <c r="Y31" s="20" t="str">
        <f t="shared" si="1"/>
        <v/>
      </c>
      <c r="Z31" s="20" t="str">
        <f t="shared" si="2"/>
        <v/>
      </c>
    </row>
    <row r="32" spans="1:26" x14ac:dyDescent="0.45">
      <c r="A32" s="23"/>
      <c r="B32" s="46"/>
      <c r="C32" s="20"/>
      <c r="D32" s="21"/>
      <c r="E32" s="25"/>
      <c r="F32" s="21"/>
      <c r="G32" s="20"/>
      <c r="H32" s="27"/>
      <c r="I32" s="26"/>
      <c r="J32" s="26"/>
      <c r="K32" s="24"/>
      <c r="L32" s="24"/>
      <c r="M32" s="28"/>
      <c r="N32" s="28"/>
      <c r="O32" s="28"/>
      <c r="P32" s="28"/>
      <c r="Q32" s="28"/>
      <c r="R32" s="20"/>
      <c r="S32" s="20"/>
      <c r="T32" s="20"/>
      <c r="U32" s="28"/>
      <c r="V32" s="28"/>
      <c r="W32" s="28"/>
      <c r="X32" s="20" t="str">
        <f t="shared" si="0"/>
        <v/>
      </c>
      <c r="Y32" s="20" t="str">
        <f t="shared" si="1"/>
        <v/>
      </c>
      <c r="Z32" s="20" t="str">
        <f t="shared" si="2"/>
        <v/>
      </c>
    </row>
    <row r="33" spans="1:26" x14ac:dyDescent="0.45">
      <c r="A33" s="23"/>
      <c r="B33" s="46"/>
      <c r="C33" s="20"/>
      <c r="D33" s="21"/>
      <c r="E33" s="25"/>
      <c r="F33" s="21"/>
      <c r="G33" s="20"/>
      <c r="H33" s="27"/>
      <c r="I33" s="26"/>
      <c r="J33" s="26"/>
      <c r="K33" s="24"/>
      <c r="L33" s="24"/>
      <c r="M33" s="28"/>
      <c r="N33" s="28"/>
      <c r="O33" s="28"/>
      <c r="P33" s="28"/>
      <c r="Q33" s="28"/>
      <c r="R33" s="20"/>
      <c r="S33" s="20"/>
      <c r="T33" s="20"/>
      <c r="U33" s="28"/>
      <c r="V33" s="28"/>
      <c r="W33" s="28"/>
      <c r="X33" s="20" t="str">
        <f t="shared" si="0"/>
        <v/>
      </c>
      <c r="Y33" s="20" t="str">
        <f t="shared" si="1"/>
        <v/>
      </c>
      <c r="Z33" s="20" t="str">
        <f t="shared" si="2"/>
        <v/>
      </c>
    </row>
    <row r="34" spans="1:26" x14ac:dyDescent="0.45">
      <c r="A34" s="23"/>
      <c r="B34" s="46"/>
      <c r="C34" s="20"/>
      <c r="D34" s="21"/>
      <c r="E34" s="25"/>
      <c r="F34" s="21"/>
      <c r="G34" s="20"/>
      <c r="H34" s="27"/>
      <c r="I34" s="26"/>
      <c r="J34" s="26"/>
      <c r="K34" s="24"/>
      <c r="L34" s="24"/>
      <c r="M34" s="28"/>
      <c r="N34" s="28"/>
      <c r="O34" s="28"/>
      <c r="P34" s="28"/>
      <c r="Q34" s="28"/>
      <c r="R34" s="20"/>
      <c r="S34" s="20"/>
      <c r="T34" s="20"/>
      <c r="U34" s="28"/>
      <c r="V34" s="28"/>
      <c r="W34" s="28"/>
      <c r="X34" s="20" t="str">
        <f t="shared" si="0"/>
        <v/>
      </c>
      <c r="Y34" s="20" t="str">
        <f t="shared" si="1"/>
        <v/>
      </c>
      <c r="Z34" s="20" t="str">
        <f t="shared" si="2"/>
        <v/>
      </c>
    </row>
    <row r="35" spans="1:26" x14ac:dyDescent="0.45">
      <c r="A35" s="23"/>
      <c r="B35" s="23"/>
      <c r="C35" s="20"/>
      <c r="D35" s="21"/>
      <c r="E35" s="25"/>
      <c r="F35" s="21"/>
      <c r="G35" s="20"/>
      <c r="H35" s="27"/>
      <c r="I35" s="26"/>
      <c r="J35" s="26"/>
      <c r="K35" s="24"/>
      <c r="L35" s="24"/>
      <c r="M35" s="28"/>
      <c r="N35" s="28"/>
      <c r="O35" s="28"/>
      <c r="P35" s="28"/>
      <c r="Q35" s="28"/>
      <c r="R35" s="20"/>
      <c r="S35" s="20"/>
      <c r="T35" s="20"/>
      <c r="U35" s="28"/>
      <c r="V35" s="28"/>
      <c r="W35" s="28"/>
      <c r="X35" s="20" t="str">
        <f t="shared" si="0"/>
        <v/>
      </c>
      <c r="Y35" s="20" t="str">
        <f t="shared" si="1"/>
        <v/>
      </c>
      <c r="Z35" s="20" t="str">
        <f t="shared" si="2"/>
        <v/>
      </c>
    </row>
    <row r="36" spans="1:26" x14ac:dyDescent="0.45">
      <c r="A36" s="23"/>
      <c r="B36" s="23"/>
      <c r="C36" s="20"/>
      <c r="D36" s="21"/>
      <c r="E36" s="25"/>
      <c r="F36" s="21"/>
      <c r="G36" s="20"/>
      <c r="H36" s="27"/>
      <c r="I36" s="26"/>
      <c r="J36" s="26"/>
      <c r="K36" s="24"/>
      <c r="L36" s="24"/>
      <c r="M36" s="28"/>
      <c r="N36" s="28"/>
      <c r="O36" s="28"/>
      <c r="P36" s="28"/>
      <c r="Q36" s="28"/>
      <c r="R36" s="20"/>
      <c r="S36" s="20"/>
      <c r="T36" s="20"/>
      <c r="U36" s="28"/>
      <c r="V36" s="28"/>
      <c r="W36" s="28"/>
      <c r="X36" s="20" t="str">
        <f t="shared" si="0"/>
        <v/>
      </c>
      <c r="Y36" s="20" t="str">
        <f t="shared" si="1"/>
        <v/>
      </c>
      <c r="Z36" s="20" t="str">
        <f t="shared" si="2"/>
        <v/>
      </c>
    </row>
    <row r="37" spans="1:26" x14ac:dyDescent="0.45">
      <c r="A37" s="23"/>
      <c r="B37" s="23"/>
      <c r="C37" s="20"/>
      <c r="D37" s="21"/>
      <c r="E37" s="25"/>
      <c r="F37" s="21"/>
      <c r="G37" s="20"/>
      <c r="H37" s="27"/>
      <c r="I37" s="26"/>
      <c r="J37" s="26"/>
      <c r="K37" s="24"/>
      <c r="L37" s="24"/>
      <c r="M37" s="28"/>
      <c r="N37" s="28"/>
      <c r="O37" s="28"/>
      <c r="P37" s="28"/>
      <c r="Q37" s="28"/>
      <c r="R37" s="20"/>
      <c r="S37" s="20"/>
      <c r="T37" s="20"/>
      <c r="U37" s="28"/>
      <c r="V37" s="28"/>
      <c r="W37" s="28"/>
      <c r="X37" s="20" t="str">
        <f t="shared" si="0"/>
        <v/>
      </c>
      <c r="Y37" s="20" t="str">
        <f t="shared" si="1"/>
        <v/>
      </c>
      <c r="Z37" s="20" t="str">
        <f t="shared" si="2"/>
        <v/>
      </c>
    </row>
    <row r="38" spans="1:26" x14ac:dyDescent="0.45">
      <c r="A38" s="23"/>
      <c r="B38" s="23"/>
      <c r="C38" s="20"/>
      <c r="D38" s="21"/>
      <c r="E38" s="25"/>
      <c r="F38" s="21"/>
      <c r="G38" s="20"/>
      <c r="H38" s="27"/>
      <c r="I38" s="26"/>
      <c r="J38" s="26"/>
      <c r="K38" s="24"/>
      <c r="L38" s="24"/>
      <c r="M38" s="28"/>
      <c r="N38" s="28"/>
      <c r="O38" s="28"/>
      <c r="P38" s="28"/>
      <c r="Q38" s="28"/>
      <c r="R38" s="20"/>
      <c r="S38" s="20"/>
      <c r="T38" s="20"/>
      <c r="U38" s="28"/>
      <c r="V38" s="28"/>
      <c r="W38" s="28"/>
      <c r="X38" s="20" t="str">
        <f t="shared" si="0"/>
        <v/>
      </c>
      <c r="Y38" s="20" t="str">
        <f t="shared" si="1"/>
        <v/>
      </c>
      <c r="Z38" s="20" t="str">
        <f t="shared" si="2"/>
        <v/>
      </c>
    </row>
    <row r="39" spans="1:26" x14ac:dyDescent="0.45">
      <c r="A39" s="23"/>
      <c r="B39" s="23"/>
      <c r="C39" s="20"/>
      <c r="D39" s="21"/>
      <c r="E39" s="25"/>
      <c r="F39" s="21"/>
      <c r="G39" s="20"/>
      <c r="H39" s="27"/>
      <c r="I39" s="26"/>
      <c r="J39" s="26"/>
      <c r="K39" s="24"/>
      <c r="L39" s="24"/>
      <c r="M39" s="28"/>
      <c r="N39" s="28"/>
      <c r="O39" s="28"/>
      <c r="P39" s="28"/>
      <c r="Q39" s="28"/>
      <c r="R39" s="20"/>
      <c r="S39" s="20"/>
      <c r="T39" s="20"/>
      <c r="U39" s="28"/>
      <c r="V39" s="28"/>
      <c r="W39" s="28"/>
      <c r="X39" s="20" t="str">
        <f t="shared" si="0"/>
        <v/>
      </c>
      <c r="Y39" s="20" t="str">
        <f t="shared" si="1"/>
        <v/>
      </c>
      <c r="Z39" s="20" t="str">
        <f t="shared" si="2"/>
        <v/>
      </c>
    </row>
    <row r="40" spans="1:26" x14ac:dyDescent="0.45">
      <c r="A40" s="23"/>
      <c r="B40" s="23"/>
      <c r="C40" s="20"/>
      <c r="D40" s="21"/>
      <c r="E40" s="25"/>
      <c r="F40" s="21"/>
      <c r="G40" s="20"/>
      <c r="H40" s="27"/>
      <c r="I40" s="26"/>
      <c r="J40" s="26"/>
      <c r="K40" s="24"/>
      <c r="L40" s="24"/>
      <c r="M40" s="28"/>
      <c r="N40" s="28"/>
      <c r="O40" s="28"/>
      <c r="P40" s="28"/>
      <c r="Q40" s="28"/>
      <c r="R40" s="20"/>
      <c r="S40" s="20"/>
      <c r="T40" s="20"/>
      <c r="U40" s="28"/>
      <c r="V40" s="28"/>
      <c r="W40" s="28"/>
      <c r="X40" s="20" t="str">
        <f t="shared" si="0"/>
        <v/>
      </c>
      <c r="Y40" s="20" t="str">
        <f t="shared" si="1"/>
        <v/>
      </c>
      <c r="Z40" s="20" t="str">
        <f t="shared" si="2"/>
        <v/>
      </c>
    </row>
    <row r="41" spans="1:26" x14ac:dyDescent="0.45">
      <c r="A41" s="23"/>
      <c r="B41" s="23"/>
      <c r="C41" s="20"/>
      <c r="D41" s="21"/>
      <c r="E41" s="25"/>
      <c r="F41" s="21"/>
      <c r="G41" s="20"/>
      <c r="H41" s="27"/>
      <c r="I41" s="26"/>
      <c r="J41" s="26"/>
      <c r="K41" s="24"/>
      <c r="L41" s="24"/>
      <c r="M41" s="28"/>
      <c r="N41" s="28"/>
      <c r="O41" s="28"/>
      <c r="P41" s="28"/>
      <c r="Q41" s="28"/>
      <c r="R41" s="20"/>
      <c r="S41" s="20"/>
      <c r="T41" s="20"/>
      <c r="U41" s="28"/>
      <c r="V41" s="28"/>
      <c r="W41" s="28"/>
      <c r="X41" s="20" t="str">
        <f t="shared" si="0"/>
        <v/>
      </c>
      <c r="Y41" s="20" t="str">
        <f t="shared" si="1"/>
        <v/>
      </c>
      <c r="Z41" s="20" t="str">
        <f t="shared" si="2"/>
        <v/>
      </c>
    </row>
    <row r="42" spans="1:26" x14ac:dyDescent="0.45">
      <c r="A42" s="23"/>
      <c r="B42" s="23"/>
      <c r="C42" s="20"/>
      <c r="D42" s="21"/>
      <c r="E42" s="25"/>
      <c r="F42" s="21"/>
      <c r="G42" s="20"/>
      <c r="H42" s="27"/>
      <c r="I42" s="26"/>
      <c r="J42" s="26"/>
      <c r="K42" s="24"/>
      <c r="L42" s="24"/>
      <c r="M42" s="28"/>
      <c r="N42" s="28"/>
      <c r="O42" s="28"/>
      <c r="P42" s="28"/>
      <c r="Q42" s="28"/>
      <c r="R42" s="20"/>
      <c r="S42" s="20"/>
      <c r="T42" s="20"/>
      <c r="U42" s="28"/>
      <c r="V42" s="28"/>
      <c r="W42" s="28"/>
      <c r="X42" s="20" t="str">
        <f t="shared" si="0"/>
        <v/>
      </c>
      <c r="Y42" s="20" t="str">
        <f t="shared" si="1"/>
        <v/>
      </c>
      <c r="Z42" s="20" t="str">
        <f t="shared" si="2"/>
        <v/>
      </c>
    </row>
    <row r="43" spans="1:26" x14ac:dyDescent="0.45">
      <c r="A43" s="23"/>
      <c r="B43" s="23"/>
      <c r="C43" s="20"/>
      <c r="D43" s="21"/>
      <c r="E43" s="25"/>
      <c r="F43" s="21"/>
      <c r="G43" s="20"/>
      <c r="H43" s="27"/>
      <c r="I43" s="26"/>
      <c r="J43" s="26"/>
      <c r="K43" s="24"/>
      <c r="L43" s="24"/>
      <c r="M43" s="28"/>
      <c r="N43" s="28"/>
      <c r="O43" s="28"/>
      <c r="P43" s="28"/>
      <c r="Q43" s="28"/>
      <c r="R43" s="20"/>
      <c r="S43" s="20"/>
      <c r="T43" s="20"/>
      <c r="U43" s="28"/>
      <c r="V43" s="28"/>
      <c r="W43" s="28"/>
      <c r="X43" s="20" t="str">
        <f t="shared" si="0"/>
        <v/>
      </c>
      <c r="Y43" s="20" t="str">
        <f t="shared" si="1"/>
        <v/>
      </c>
      <c r="Z43" s="20" t="str">
        <f t="shared" si="2"/>
        <v/>
      </c>
    </row>
    <row r="44" spans="1:26" x14ac:dyDescent="0.45">
      <c r="A44" s="23"/>
      <c r="B44" s="23"/>
      <c r="C44" s="20"/>
      <c r="D44" s="21"/>
      <c r="E44" s="25"/>
      <c r="F44" s="21"/>
      <c r="G44" s="20"/>
      <c r="H44" s="27"/>
      <c r="I44" s="26"/>
      <c r="J44" s="26"/>
      <c r="K44" s="24"/>
      <c r="L44" s="24"/>
      <c r="M44" s="28"/>
      <c r="N44" s="28"/>
      <c r="O44" s="28"/>
      <c r="P44" s="28"/>
      <c r="Q44" s="28"/>
      <c r="R44" s="20"/>
      <c r="S44" s="20"/>
      <c r="T44" s="20"/>
      <c r="U44" s="28"/>
      <c r="V44" s="28"/>
      <c r="W44" s="28"/>
      <c r="X44" s="20" t="str">
        <f t="shared" si="0"/>
        <v/>
      </c>
      <c r="Y44" s="20" t="str">
        <f t="shared" si="1"/>
        <v/>
      </c>
      <c r="Z44" s="20" t="str">
        <f t="shared" si="2"/>
        <v/>
      </c>
    </row>
    <row r="45" spans="1:26" x14ac:dyDescent="0.45">
      <c r="A45" s="23"/>
      <c r="B45" s="23"/>
      <c r="C45" s="20"/>
      <c r="D45" s="21"/>
      <c r="E45" s="25"/>
      <c r="F45" s="21"/>
      <c r="G45" s="20"/>
      <c r="H45" s="27"/>
      <c r="I45" s="26"/>
      <c r="J45" s="26"/>
      <c r="K45" s="24"/>
      <c r="L45" s="24"/>
      <c r="M45" s="28"/>
      <c r="N45" s="28"/>
      <c r="O45" s="28"/>
      <c r="P45" s="28"/>
      <c r="Q45" s="28"/>
      <c r="R45" s="20"/>
      <c r="S45" s="20"/>
      <c r="T45" s="20"/>
      <c r="U45" s="28"/>
      <c r="V45" s="28"/>
      <c r="W45" s="28"/>
      <c r="X45" s="20" t="str">
        <f t="shared" si="0"/>
        <v/>
      </c>
      <c r="Y45" s="20" t="str">
        <f t="shared" si="1"/>
        <v/>
      </c>
      <c r="Z45" s="20" t="str">
        <f t="shared" si="2"/>
        <v/>
      </c>
    </row>
    <row r="46" spans="1:26" x14ac:dyDescent="0.45">
      <c r="A46" s="23"/>
      <c r="B46" s="23"/>
      <c r="C46" s="20"/>
      <c r="D46" s="21"/>
      <c r="E46" s="25"/>
      <c r="F46" s="21"/>
      <c r="G46" s="20"/>
      <c r="H46" s="27"/>
      <c r="I46" s="26"/>
      <c r="J46" s="26"/>
      <c r="K46" s="24"/>
      <c r="L46" s="24"/>
      <c r="M46" s="28"/>
      <c r="N46" s="28"/>
      <c r="O46" s="28"/>
      <c r="P46" s="28"/>
      <c r="Q46" s="28"/>
      <c r="R46" s="20"/>
      <c r="S46" s="20"/>
      <c r="T46" s="20"/>
      <c r="U46" s="28"/>
      <c r="V46" s="28"/>
      <c r="W46" s="28"/>
      <c r="X46" s="20" t="str">
        <f t="shared" si="0"/>
        <v/>
      </c>
      <c r="Y46" s="20" t="str">
        <f t="shared" si="1"/>
        <v/>
      </c>
      <c r="Z46" s="20" t="str">
        <f t="shared" si="2"/>
        <v/>
      </c>
    </row>
    <row r="47" spans="1:26" x14ac:dyDescent="0.45">
      <c r="A47" s="23"/>
      <c r="B47" s="23"/>
      <c r="C47" s="20"/>
      <c r="D47" s="21"/>
      <c r="E47" s="25"/>
      <c r="F47" s="21"/>
      <c r="G47" s="20"/>
      <c r="H47" s="27"/>
      <c r="I47" s="26"/>
      <c r="J47" s="26"/>
      <c r="K47" s="24"/>
      <c r="L47" s="24"/>
      <c r="M47" s="28"/>
      <c r="N47" s="28"/>
      <c r="O47" s="28"/>
      <c r="P47" s="28"/>
      <c r="Q47" s="28"/>
      <c r="R47" s="20"/>
      <c r="S47" s="20"/>
      <c r="T47" s="20"/>
      <c r="U47" s="28"/>
      <c r="V47" s="28"/>
      <c r="W47" s="28"/>
      <c r="X47" s="20" t="str">
        <f t="shared" si="0"/>
        <v/>
      </c>
      <c r="Y47" s="20" t="str">
        <f t="shared" si="1"/>
        <v/>
      </c>
      <c r="Z47" s="20" t="str">
        <f t="shared" si="2"/>
        <v/>
      </c>
    </row>
    <row r="48" spans="1:26" x14ac:dyDescent="0.45">
      <c r="A48" s="23"/>
      <c r="B48" s="23"/>
      <c r="C48" s="20"/>
      <c r="D48" s="21"/>
      <c r="E48" s="25"/>
      <c r="F48" s="21"/>
      <c r="G48" s="20"/>
      <c r="H48" s="27"/>
      <c r="I48" s="26"/>
      <c r="J48" s="26"/>
      <c r="K48" s="24"/>
      <c r="L48" s="24"/>
      <c r="M48" s="28"/>
      <c r="N48" s="28"/>
      <c r="O48" s="28"/>
      <c r="P48" s="28"/>
      <c r="Q48" s="28"/>
      <c r="R48" s="20"/>
      <c r="S48" s="20"/>
      <c r="T48" s="20"/>
      <c r="U48" s="28"/>
      <c r="V48" s="28"/>
      <c r="W48" s="28"/>
      <c r="X48" s="20" t="str">
        <f t="shared" si="0"/>
        <v/>
      </c>
      <c r="Y48" s="20" t="str">
        <f t="shared" si="1"/>
        <v/>
      </c>
      <c r="Z48" s="20" t="str">
        <f t="shared" si="2"/>
        <v/>
      </c>
    </row>
    <row r="49" spans="1:26" x14ac:dyDescent="0.45">
      <c r="A49" s="23"/>
      <c r="B49" s="23"/>
      <c r="C49" s="20"/>
      <c r="D49" s="21"/>
      <c r="E49" s="25"/>
      <c r="F49" s="21"/>
      <c r="G49" s="20"/>
      <c r="H49" s="27"/>
      <c r="I49" s="26"/>
      <c r="J49" s="26"/>
      <c r="K49" s="24"/>
      <c r="L49" s="24"/>
      <c r="M49" s="28"/>
      <c r="N49" s="28"/>
      <c r="O49" s="28"/>
      <c r="P49" s="28"/>
      <c r="Q49" s="28"/>
      <c r="R49" s="20"/>
      <c r="S49" s="20"/>
      <c r="T49" s="20"/>
      <c r="U49" s="28"/>
      <c r="V49" s="28"/>
      <c r="W49" s="28"/>
      <c r="X49" s="20" t="str">
        <f t="shared" si="0"/>
        <v/>
      </c>
      <c r="Y49" s="20" t="str">
        <f t="shared" si="1"/>
        <v/>
      </c>
      <c r="Z49" s="20" t="str">
        <f t="shared" si="2"/>
        <v/>
      </c>
    </row>
    <row r="50" spans="1:26" x14ac:dyDescent="0.45">
      <c r="A50" s="23"/>
      <c r="B50" s="23"/>
      <c r="C50" s="20"/>
      <c r="D50" s="21"/>
      <c r="E50" s="25"/>
      <c r="F50" s="21"/>
      <c r="G50" s="20"/>
      <c r="H50" s="27"/>
      <c r="I50" s="26"/>
      <c r="J50" s="26"/>
      <c r="K50" s="24"/>
      <c r="L50" s="24"/>
      <c r="M50" s="28"/>
      <c r="N50" s="28"/>
      <c r="O50" s="28"/>
      <c r="P50" s="28"/>
      <c r="Q50" s="28"/>
      <c r="R50" s="20"/>
      <c r="S50" s="20"/>
      <c r="T50" s="20"/>
      <c r="U50" s="28"/>
      <c r="V50" s="28"/>
      <c r="W50" s="28"/>
      <c r="X50" s="20" t="str">
        <f t="shared" si="0"/>
        <v/>
      </c>
      <c r="Y50" s="20" t="str">
        <f t="shared" si="1"/>
        <v/>
      </c>
      <c r="Z50" s="20" t="str">
        <f t="shared" si="2"/>
        <v/>
      </c>
    </row>
    <row r="51" spans="1:26" x14ac:dyDescent="0.45">
      <c r="A51" s="23"/>
      <c r="B51" s="23"/>
      <c r="C51" s="20"/>
      <c r="D51" s="21"/>
      <c r="E51" s="25"/>
      <c r="F51" s="21"/>
      <c r="G51" s="20"/>
      <c r="H51" s="27"/>
      <c r="I51" s="26"/>
      <c r="J51" s="26"/>
      <c r="K51" s="24"/>
      <c r="L51" s="24"/>
      <c r="M51" s="28"/>
      <c r="N51" s="28"/>
      <c r="O51" s="28"/>
      <c r="P51" s="28"/>
      <c r="Q51" s="28"/>
      <c r="R51" s="20"/>
      <c r="S51" s="20"/>
      <c r="T51" s="20"/>
      <c r="U51" s="28"/>
      <c r="V51" s="28"/>
      <c r="W51" s="28"/>
      <c r="X51" s="20" t="str">
        <f t="shared" si="0"/>
        <v/>
      </c>
      <c r="Y51" s="20" t="str">
        <f t="shared" si="1"/>
        <v/>
      </c>
      <c r="Z51" s="20" t="str">
        <f t="shared" si="2"/>
        <v/>
      </c>
    </row>
    <row r="52" spans="1:26" x14ac:dyDescent="0.45">
      <c r="A52" s="23"/>
      <c r="B52" s="23"/>
      <c r="C52" s="20"/>
      <c r="D52" s="21"/>
      <c r="E52" s="25"/>
      <c r="F52" s="21"/>
      <c r="G52" s="20"/>
      <c r="H52" s="27"/>
      <c r="I52" s="26"/>
      <c r="J52" s="26"/>
      <c r="K52" s="24"/>
      <c r="L52" s="24"/>
      <c r="M52" s="28"/>
      <c r="N52" s="28"/>
      <c r="O52" s="28"/>
      <c r="P52" s="28"/>
      <c r="Q52" s="28"/>
      <c r="R52" s="20"/>
      <c r="S52" s="20"/>
      <c r="T52" s="20"/>
      <c r="U52" s="28"/>
      <c r="V52" s="28"/>
      <c r="W52" s="28"/>
      <c r="X52" s="20" t="str">
        <f t="shared" si="0"/>
        <v/>
      </c>
      <c r="Y52" s="20" t="str">
        <f t="shared" si="1"/>
        <v/>
      </c>
      <c r="Z52" s="20" t="str">
        <f t="shared" si="2"/>
        <v/>
      </c>
    </row>
    <row r="53" spans="1:26" x14ac:dyDescent="0.45">
      <c r="A53" s="23"/>
      <c r="B53" s="23"/>
      <c r="C53" s="20"/>
      <c r="D53" s="21"/>
      <c r="E53" s="25"/>
      <c r="F53" s="21"/>
      <c r="G53" s="20"/>
      <c r="H53" s="27"/>
      <c r="I53" s="26"/>
      <c r="J53" s="26"/>
      <c r="K53" s="24"/>
      <c r="L53" s="24"/>
      <c r="M53" s="28"/>
      <c r="N53" s="28"/>
      <c r="O53" s="28"/>
      <c r="P53" s="28"/>
      <c r="Q53" s="28"/>
      <c r="R53" s="20"/>
      <c r="S53" s="20"/>
      <c r="T53" s="20"/>
      <c r="U53" s="28"/>
      <c r="V53" s="28"/>
      <c r="W53" s="28"/>
      <c r="X53" s="20" t="str">
        <f t="shared" si="0"/>
        <v/>
      </c>
      <c r="Y53" s="20" t="str">
        <f t="shared" si="1"/>
        <v/>
      </c>
      <c r="Z53" s="20" t="str">
        <f t="shared" si="2"/>
        <v/>
      </c>
    </row>
    <row r="54" spans="1:26" x14ac:dyDescent="0.45">
      <c r="A54" s="23"/>
      <c r="B54" s="23"/>
      <c r="C54" s="20"/>
      <c r="D54" s="21"/>
      <c r="E54" s="25"/>
      <c r="F54" s="21"/>
      <c r="G54" s="20"/>
      <c r="H54" s="27"/>
      <c r="I54" s="26"/>
      <c r="J54" s="26"/>
      <c r="K54" s="24"/>
      <c r="L54" s="24"/>
      <c r="M54" s="28"/>
      <c r="N54" s="28"/>
      <c r="O54" s="28"/>
      <c r="P54" s="28"/>
      <c r="Q54" s="28"/>
      <c r="R54" s="20"/>
      <c r="S54" s="20"/>
      <c r="T54" s="20"/>
      <c r="U54" s="28"/>
      <c r="V54" s="28"/>
      <c r="W54" s="28"/>
      <c r="X54" s="20" t="str">
        <f t="shared" si="0"/>
        <v/>
      </c>
      <c r="Y54" s="20" t="str">
        <f t="shared" si="1"/>
        <v/>
      </c>
      <c r="Z54" s="20" t="str">
        <f t="shared" si="2"/>
        <v/>
      </c>
    </row>
    <row r="55" spans="1:26" x14ac:dyDescent="0.45">
      <c r="A55" s="23"/>
      <c r="B55" s="23"/>
      <c r="C55" s="20"/>
      <c r="D55" s="21"/>
      <c r="E55" s="25"/>
      <c r="F55" s="21"/>
      <c r="G55" s="20"/>
      <c r="H55" s="27"/>
      <c r="I55" s="26"/>
      <c r="J55" s="26"/>
      <c r="K55" s="24"/>
      <c r="L55" s="24"/>
      <c r="M55" s="28"/>
      <c r="N55" s="28"/>
      <c r="O55" s="28"/>
      <c r="P55" s="28"/>
      <c r="Q55" s="28"/>
      <c r="R55" s="20"/>
      <c r="S55" s="20"/>
      <c r="T55" s="20"/>
      <c r="U55" s="28"/>
      <c r="V55" s="28"/>
      <c r="W55" s="28"/>
      <c r="X55" s="20" t="str">
        <f t="shared" si="0"/>
        <v/>
      </c>
      <c r="Y55" s="20" t="str">
        <f t="shared" si="1"/>
        <v/>
      </c>
      <c r="Z55" s="20" t="str">
        <f t="shared" si="2"/>
        <v/>
      </c>
    </row>
    <row r="56" spans="1:26" x14ac:dyDescent="0.45">
      <c r="A56" s="23"/>
      <c r="B56" s="23"/>
      <c r="C56" s="20"/>
      <c r="D56" s="21"/>
      <c r="E56" s="25"/>
      <c r="F56" s="21"/>
      <c r="G56" s="20"/>
      <c r="H56" s="27"/>
      <c r="I56" s="26"/>
      <c r="J56" s="26"/>
      <c r="K56" s="24"/>
      <c r="L56" s="24"/>
      <c r="M56" s="28"/>
      <c r="N56" s="28"/>
      <c r="O56" s="28"/>
      <c r="P56" s="28"/>
      <c r="Q56" s="28"/>
      <c r="R56" s="20"/>
      <c r="S56" s="20"/>
      <c r="T56" s="20"/>
      <c r="U56" s="28"/>
      <c r="V56" s="28"/>
      <c r="W56" s="28"/>
      <c r="X56" s="20" t="str">
        <f t="shared" si="0"/>
        <v/>
      </c>
      <c r="Y56" s="20" t="str">
        <f t="shared" si="1"/>
        <v/>
      </c>
      <c r="Z56" s="20" t="str">
        <f t="shared" si="2"/>
        <v/>
      </c>
    </row>
    <row r="57" spans="1:26" x14ac:dyDescent="0.45">
      <c r="A57" s="23"/>
      <c r="B57" s="23"/>
      <c r="C57" s="20"/>
      <c r="D57" s="21"/>
      <c r="E57" s="25"/>
      <c r="F57" s="21"/>
      <c r="G57" s="20"/>
      <c r="H57" s="27"/>
      <c r="I57" s="26"/>
      <c r="J57" s="26"/>
      <c r="K57" s="24"/>
      <c r="L57" s="24"/>
      <c r="M57" s="28"/>
      <c r="N57" s="28"/>
      <c r="O57" s="28"/>
      <c r="P57" s="28"/>
      <c r="Q57" s="28"/>
      <c r="R57" s="20"/>
      <c r="S57" s="20"/>
      <c r="T57" s="20"/>
      <c r="U57" s="28"/>
      <c r="V57" s="28"/>
      <c r="W57" s="28"/>
      <c r="X57" s="20" t="str">
        <f t="shared" si="0"/>
        <v/>
      </c>
      <c r="Y57" s="20" t="str">
        <f t="shared" si="1"/>
        <v/>
      </c>
      <c r="Z57" s="20" t="str">
        <f t="shared" si="2"/>
        <v/>
      </c>
    </row>
    <row r="58" spans="1:26" x14ac:dyDescent="0.45">
      <c r="E58" s="29"/>
      <c r="X58" s="20" t="str">
        <f t="shared" si="0"/>
        <v/>
      </c>
      <c r="Y58" s="20" t="str">
        <f t="shared" si="1"/>
        <v/>
      </c>
      <c r="Z58" s="20" t="str">
        <f t="shared" si="2"/>
        <v/>
      </c>
    </row>
    <row r="59" spans="1:26" x14ac:dyDescent="0.45">
      <c r="E59" s="29"/>
      <c r="X59" s="20" t="str">
        <f t="shared" si="0"/>
        <v/>
      </c>
      <c r="Y59" s="20" t="str">
        <f t="shared" si="1"/>
        <v/>
      </c>
      <c r="Z59" s="20" t="str">
        <f t="shared" si="2"/>
        <v/>
      </c>
    </row>
    <row r="60" spans="1:26" x14ac:dyDescent="0.45">
      <c r="E60" s="29"/>
      <c r="X60" s="20" t="str">
        <f t="shared" si="0"/>
        <v/>
      </c>
      <c r="Y60" s="20" t="str">
        <f t="shared" si="1"/>
        <v/>
      </c>
      <c r="Z60" s="20" t="str">
        <f t="shared" si="2"/>
        <v/>
      </c>
    </row>
    <row r="61" spans="1:26" x14ac:dyDescent="0.45">
      <c r="E61" s="29"/>
      <c r="X61" s="20" t="str">
        <f t="shared" si="0"/>
        <v/>
      </c>
      <c r="Y61" s="20" t="str">
        <f t="shared" si="1"/>
        <v/>
      </c>
      <c r="Z61" s="20" t="str">
        <f t="shared" si="2"/>
        <v/>
      </c>
    </row>
    <row r="62" spans="1:26" x14ac:dyDescent="0.45">
      <c r="E62" s="29"/>
      <c r="X62" s="20" t="str">
        <f t="shared" si="0"/>
        <v/>
      </c>
      <c r="Y62" s="20" t="str">
        <f t="shared" si="1"/>
        <v/>
      </c>
      <c r="Z62" s="20" t="str">
        <f t="shared" si="2"/>
        <v/>
      </c>
    </row>
    <row r="63" spans="1:26" x14ac:dyDescent="0.45">
      <c r="E63" s="29"/>
      <c r="X63" s="20" t="str">
        <f t="shared" si="0"/>
        <v/>
      </c>
      <c r="Y63" s="20" t="str">
        <f t="shared" si="1"/>
        <v/>
      </c>
      <c r="Z63" s="20" t="str">
        <f t="shared" si="2"/>
        <v/>
      </c>
    </row>
    <row r="64" spans="1:26" x14ac:dyDescent="0.45">
      <c r="E64" s="29"/>
      <c r="X64" s="20" t="str">
        <f t="shared" si="0"/>
        <v/>
      </c>
      <c r="Y64" s="20" t="str">
        <f t="shared" si="1"/>
        <v/>
      </c>
      <c r="Z64" s="20" t="str">
        <f t="shared" si="2"/>
        <v/>
      </c>
    </row>
    <row r="65" spans="24:26" x14ac:dyDescent="0.45">
      <c r="X65" s="20" t="str">
        <f t="shared" si="0"/>
        <v/>
      </c>
      <c r="Y65" s="20" t="str">
        <f t="shared" si="1"/>
        <v/>
      </c>
      <c r="Z65" s="20" t="str">
        <f t="shared" si="2"/>
        <v/>
      </c>
    </row>
    <row r="66" spans="24:26" x14ac:dyDescent="0.45">
      <c r="X66" s="20" t="str">
        <f t="shared" si="0"/>
        <v/>
      </c>
      <c r="Y66" s="20" t="str">
        <f t="shared" si="1"/>
        <v/>
      </c>
      <c r="Z66" s="20" t="str">
        <f t="shared" si="2"/>
        <v/>
      </c>
    </row>
    <row r="67" spans="24:26" x14ac:dyDescent="0.45">
      <c r="X67" s="20" t="str">
        <f t="shared" si="0"/>
        <v/>
      </c>
      <c r="Y67" s="20" t="str">
        <f t="shared" si="1"/>
        <v/>
      </c>
      <c r="Z67" s="20" t="str">
        <f t="shared" si="2"/>
        <v/>
      </c>
    </row>
    <row r="68" spans="24:26" x14ac:dyDescent="0.45">
      <c r="X68" s="20" t="str">
        <f t="shared" si="0"/>
        <v/>
      </c>
      <c r="Y68" s="20" t="str">
        <f t="shared" si="1"/>
        <v/>
      </c>
      <c r="Z68" s="20" t="str">
        <f t="shared" si="2"/>
        <v/>
      </c>
    </row>
    <row r="69" spans="24:26" x14ac:dyDescent="0.45">
      <c r="X69" s="20" t="str">
        <f t="shared" si="0"/>
        <v/>
      </c>
      <c r="Y69" s="20" t="str">
        <f t="shared" si="1"/>
        <v/>
      </c>
      <c r="Z69" s="20" t="str">
        <f t="shared" si="2"/>
        <v/>
      </c>
    </row>
    <row r="70" spans="24:26" x14ac:dyDescent="0.45">
      <c r="X70" s="20" t="str">
        <f t="shared" si="0"/>
        <v/>
      </c>
      <c r="Y70" s="20" t="str">
        <f t="shared" si="1"/>
        <v/>
      </c>
      <c r="Z70" s="20" t="str">
        <f t="shared" si="2"/>
        <v/>
      </c>
    </row>
    <row r="71" spans="24:26" x14ac:dyDescent="0.45">
      <c r="X71" s="20" t="str">
        <f t="shared" si="0"/>
        <v/>
      </c>
      <c r="Y71" s="20" t="str">
        <f t="shared" si="1"/>
        <v/>
      </c>
      <c r="Z71" s="20" t="str">
        <f t="shared" si="2"/>
        <v/>
      </c>
    </row>
    <row r="72" spans="24:26" x14ac:dyDescent="0.45">
      <c r="X72" s="20" t="str">
        <f t="shared" si="0"/>
        <v/>
      </c>
      <c r="Y72" s="20" t="str">
        <f t="shared" si="1"/>
        <v/>
      </c>
      <c r="Z72" s="20" t="str">
        <f t="shared" si="2"/>
        <v/>
      </c>
    </row>
    <row r="73" spans="24:26" x14ac:dyDescent="0.45">
      <c r="X73" s="20" t="str">
        <f t="shared" si="0"/>
        <v/>
      </c>
      <c r="Y73" s="20" t="str">
        <f t="shared" si="1"/>
        <v/>
      </c>
      <c r="Z73" s="20" t="str">
        <f t="shared" si="2"/>
        <v/>
      </c>
    </row>
    <row r="74" spans="24:26" x14ac:dyDescent="0.45">
      <c r="X74" s="20" t="str">
        <f t="shared" si="0"/>
        <v/>
      </c>
      <c r="Y74" s="20" t="str">
        <f t="shared" si="1"/>
        <v/>
      </c>
      <c r="Z74" s="20" t="str">
        <f t="shared" si="2"/>
        <v/>
      </c>
    </row>
    <row r="75" spans="24:26" x14ac:dyDescent="0.45">
      <c r="X75" s="20" t="str">
        <f t="shared" si="0"/>
        <v/>
      </c>
      <c r="Y75" s="20" t="str">
        <f t="shared" si="1"/>
        <v/>
      </c>
      <c r="Z75" s="20" t="str">
        <f t="shared" si="2"/>
        <v/>
      </c>
    </row>
    <row r="76" spans="24:26" x14ac:dyDescent="0.45">
      <c r="X76" s="20" t="str">
        <f t="shared" si="0"/>
        <v/>
      </c>
      <c r="Y76" s="20" t="str">
        <f t="shared" si="1"/>
        <v/>
      </c>
      <c r="Z76" s="20" t="str">
        <f t="shared" si="2"/>
        <v/>
      </c>
    </row>
    <row r="77" spans="24:26" x14ac:dyDescent="0.45">
      <c r="X77" s="20" t="str">
        <f t="shared" si="0"/>
        <v/>
      </c>
      <c r="Y77" s="20" t="str">
        <f t="shared" si="1"/>
        <v/>
      </c>
      <c r="Z77" s="20" t="str">
        <f t="shared" si="2"/>
        <v/>
      </c>
    </row>
    <row r="78" spans="24:26" x14ac:dyDescent="0.45">
      <c r="X78" s="20" t="str">
        <f t="shared" si="0"/>
        <v/>
      </c>
      <c r="Y78" s="20" t="str">
        <f t="shared" si="1"/>
        <v/>
      </c>
      <c r="Z78" s="20" t="str">
        <f t="shared" si="2"/>
        <v/>
      </c>
    </row>
    <row r="79" spans="24:26" x14ac:dyDescent="0.45">
      <c r="X79" s="20" t="str">
        <f t="shared" si="0"/>
        <v/>
      </c>
      <c r="Y79" s="20" t="str">
        <f t="shared" si="1"/>
        <v/>
      </c>
      <c r="Z79" s="20" t="str">
        <f t="shared" si="2"/>
        <v/>
      </c>
    </row>
    <row r="80" spans="24:26" x14ac:dyDescent="0.45">
      <c r="X80" s="20" t="str">
        <f t="shared" ref="X80:X94" si="3">IF($A81="","",$M81)</f>
        <v/>
      </c>
      <c r="Y80" s="20" t="str">
        <f t="shared" ref="Y80:Y94" si="4">IF($A81="","",$E81)</f>
        <v/>
      </c>
      <c r="Z80" s="20" t="str">
        <f t="shared" ref="Z80:Z94" si="5">IF($A81="","",IF(X80&gt;=0.5,"Continuation Up",IF(X80&lt;=-0.5,"Pullback","Digest")))</f>
        <v/>
      </c>
    </row>
    <row r="81" spans="24:26" x14ac:dyDescent="0.45">
      <c r="X81" s="20" t="str">
        <f t="shared" si="3"/>
        <v/>
      </c>
      <c r="Y81" s="20" t="str">
        <f t="shared" si="4"/>
        <v/>
      </c>
      <c r="Z81" s="20" t="str">
        <f t="shared" si="5"/>
        <v/>
      </c>
    </row>
    <row r="82" spans="24:26" x14ac:dyDescent="0.45">
      <c r="X82" s="20" t="str">
        <f t="shared" si="3"/>
        <v/>
      </c>
      <c r="Y82" s="20" t="str">
        <f t="shared" si="4"/>
        <v/>
      </c>
      <c r="Z82" s="20" t="str">
        <f t="shared" si="5"/>
        <v/>
      </c>
    </row>
    <row r="83" spans="24:26" x14ac:dyDescent="0.45">
      <c r="X83" s="20" t="str">
        <f t="shared" si="3"/>
        <v/>
      </c>
      <c r="Y83" s="20" t="str">
        <f t="shared" si="4"/>
        <v/>
      </c>
      <c r="Z83" s="20" t="str">
        <f t="shared" si="5"/>
        <v/>
      </c>
    </row>
    <row r="84" spans="24:26" x14ac:dyDescent="0.45">
      <c r="X84" s="20" t="str">
        <f t="shared" si="3"/>
        <v/>
      </c>
      <c r="Y84" s="20" t="str">
        <f t="shared" si="4"/>
        <v/>
      </c>
      <c r="Z84" s="20" t="str">
        <f t="shared" si="5"/>
        <v/>
      </c>
    </row>
    <row r="85" spans="24:26" x14ac:dyDescent="0.45">
      <c r="X85" s="20" t="str">
        <f t="shared" si="3"/>
        <v/>
      </c>
      <c r="Y85" s="20" t="str">
        <f t="shared" si="4"/>
        <v/>
      </c>
      <c r="Z85" s="20" t="str">
        <f t="shared" si="5"/>
        <v/>
      </c>
    </row>
    <row r="86" spans="24:26" x14ac:dyDescent="0.45">
      <c r="X86" s="20" t="str">
        <f t="shared" si="3"/>
        <v/>
      </c>
      <c r="Y86" s="20" t="str">
        <f t="shared" si="4"/>
        <v/>
      </c>
      <c r="Z86" s="20" t="str">
        <f t="shared" si="5"/>
        <v/>
      </c>
    </row>
    <row r="87" spans="24:26" x14ac:dyDescent="0.45">
      <c r="X87" s="20" t="str">
        <f t="shared" si="3"/>
        <v/>
      </c>
      <c r="Y87" s="20" t="str">
        <f t="shared" si="4"/>
        <v/>
      </c>
      <c r="Z87" s="20" t="str">
        <f t="shared" si="5"/>
        <v/>
      </c>
    </row>
    <row r="88" spans="24:26" x14ac:dyDescent="0.45">
      <c r="X88" s="20" t="str">
        <f t="shared" si="3"/>
        <v/>
      </c>
      <c r="Y88" s="20" t="str">
        <f t="shared" si="4"/>
        <v/>
      </c>
      <c r="Z88" s="20" t="str">
        <f t="shared" si="5"/>
        <v/>
      </c>
    </row>
    <row r="89" spans="24:26" x14ac:dyDescent="0.45">
      <c r="X89" s="20" t="str">
        <f t="shared" si="3"/>
        <v/>
      </c>
      <c r="Y89" s="20" t="str">
        <f t="shared" si="4"/>
        <v/>
      </c>
      <c r="Z89" s="20" t="str">
        <f t="shared" si="5"/>
        <v/>
      </c>
    </row>
    <row r="90" spans="24:26" x14ac:dyDescent="0.45">
      <c r="X90" s="20" t="str">
        <f t="shared" si="3"/>
        <v/>
      </c>
      <c r="Y90" s="20" t="str">
        <f t="shared" si="4"/>
        <v/>
      </c>
      <c r="Z90" s="20" t="str">
        <f t="shared" si="5"/>
        <v/>
      </c>
    </row>
    <row r="91" spans="24:26" x14ac:dyDescent="0.45">
      <c r="X91" s="20" t="str">
        <f t="shared" si="3"/>
        <v/>
      </c>
      <c r="Y91" s="20" t="str">
        <f t="shared" si="4"/>
        <v/>
      </c>
      <c r="Z91" s="20" t="str">
        <f t="shared" si="5"/>
        <v/>
      </c>
    </row>
    <row r="92" spans="24:26" x14ac:dyDescent="0.45">
      <c r="X92" s="20" t="str">
        <f t="shared" si="3"/>
        <v/>
      </c>
      <c r="Y92" s="20" t="str">
        <f t="shared" si="4"/>
        <v/>
      </c>
      <c r="Z92" s="20" t="str">
        <f t="shared" si="5"/>
        <v/>
      </c>
    </row>
    <row r="93" spans="24:26" x14ac:dyDescent="0.45">
      <c r="X93" s="20" t="str">
        <f t="shared" si="3"/>
        <v/>
      </c>
      <c r="Y93" s="20" t="str">
        <f t="shared" si="4"/>
        <v/>
      </c>
      <c r="Z93" s="20" t="str">
        <f t="shared" si="5"/>
        <v/>
      </c>
    </row>
    <row r="94" spans="24:26" x14ac:dyDescent="0.45">
      <c r="X94" s="20" t="str">
        <f t="shared" si="3"/>
        <v/>
      </c>
      <c r="Y94" s="20" t="str">
        <f t="shared" si="4"/>
        <v/>
      </c>
      <c r="Z94" s="20" t="str">
        <f t="shared" si="5"/>
        <v/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1"/>
  <sheetViews>
    <sheetView tabSelected="1" topLeftCell="J1" workbookViewId="0">
      <pane ySplit="1" topLeftCell="A2" activePane="bottomLeft" state="frozen"/>
      <selection pane="bottomLeft" activeCell="J6" sqref="J6"/>
    </sheetView>
  </sheetViews>
  <sheetFormatPr defaultRowHeight="14.25" x14ac:dyDescent="0.45"/>
  <cols>
    <col min="1" max="1" width="7.1328125" customWidth="1"/>
    <col min="2" max="2" width="10.33203125" customWidth="1"/>
    <col min="3" max="3" width="8.3984375" customWidth="1"/>
    <col min="4" max="4" width="8.86328125" customWidth="1"/>
    <col min="5" max="5" width="6.73046875" customWidth="1"/>
    <col min="6" max="6" width="10.3984375" customWidth="1"/>
    <col min="7" max="7" width="10.19921875" customWidth="1"/>
    <col min="8" max="8" width="9.33203125" customWidth="1"/>
    <col min="9" max="9" width="12.73046875" customWidth="1"/>
    <col min="10" max="10" width="14.86328125" customWidth="1"/>
    <col min="11" max="11" width="13.73046875" customWidth="1"/>
    <col min="12" max="12" width="15.265625" customWidth="1"/>
    <col min="13" max="13" width="14.9296875" customWidth="1"/>
    <col min="14" max="14" width="12.53125" customWidth="1"/>
    <col min="15" max="15" width="10.06640625" customWidth="1"/>
    <col min="16" max="16" width="5.53125" customWidth="1"/>
    <col min="17" max="17" width="8.73046875" customWidth="1"/>
    <col min="18" max="18" width="7.86328125" customWidth="1"/>
    <col min="19" max="19" width="10.796875" customWidth="1"/>
    <col min="20" max="21" width="18" customWidth="1"/>
  </cols>
  <sheetData>
    <row r="1" spans="1:24" x14ac:dyDescent="0.45">
      <c r="A1" s="2" t="s">
        <v>17</v>
      </c>
      <c r="B1" s="2" t="s">
        <v>18</v>
      </c>
      <c r="C1" s="2" t="s">
        <v>19</v>
      </c>
      <c r="D1" s="2" t="s">
        <v>6</v>
      </c>
      <c r="E1" s="2" t="s">
        <v>7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86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84</v>
      </c>
      <c r="U1" s="2" t="s">
        <v>33</v>
      </c>
      <c r="V1" t="s">
        <v>215</v>
      </c>
      <c r="W1" t="s">
        <v>216</v>
      </c>
      <c r="X1" t="s">
        <v>217</v>
      </c>
    </row>
    <row r="2" spans="1:24" x14ac:dyDescent="0.45">
      <c r="A2" t="str">
        <f>Raw_VN30_Statistic!C2</f>
        <v>ACB</v>
      </c>
      <c r="B2">
        <f>Raw_VN30_Statistic!D2</f>
        <v>24.45</v>
      </c>
      <c r="C2">
        <f>Raw_VN30_Statistic!F2</f>
        <v>24.55</v>
      </c>
      <c r="D2">
        <f>Raw_VN30_Statistic!G2</f>
        <v>24.6</v>
      </c>
      <c r="E2">
        <f>Raw_VN30_Statistic!H2</f>
        <v>24.2</v>
      </c>
      <c r="F2">
        <f>IF(ISNUMBER(Raw_VN30_Statistic!J2),Raw_VN30_Statistic!J2,(C2-B2))</f>
        <v>100</v>
      </c>
      <c r="G2">
        <f>IF(ISNUMBER(Raw_VN30_Statistic!K2),Raw_VN30_Statistic!K2,IF(B2=0,0,F2/B2*100))</f>
        <v>0.41</v>
      </c>
      <c r="H2">
        <f>Raw_VN30_Statistic!P2</f>
        <v>14900900</v>
      </c>
      <c r="I2">
        <f>IF(Raw_VN30_Statistic!Q2="",0,Raw_VN30_Statistic!Q2/1000)</f>
        <v>364.34</v>
      </c>
      <c r="J2">
        <f>IFERROR(
  _xlfn.XLOOKUP(A2,Raw_VN30_Influence!$B$2:$B$30,Raw_VN30_Influence!$G$2:$G$30)
  /SUM(Raw_VN30_Influence!$G$2:$G$31),"")</f>
        <v>3.6661476599195802E-2</v>
      </c>
      <c r="K2">
        <f>IF(COUNTIF(Settings!$A:$A,A2)&gt;0,1,0)</f>
        <v>1</v>
      </c>
      <c r="L2">
        <f>IF(J2&gt;=_xlfn.PERCENTILE.INC($J$2:$J$31,0.8),1,0)</f>
        <v>0</v>
      </c>
      <c r="M2" s="9">
        <f t="shared" ref="M2:M31" si="0">IF(D2=E2,0.5,MAX(0,MIN(1,(C2-E2)/(D2-E2))))</f>
        <v>0.87499999999999889</v>
      </c>
      <c r="N2">
        <f t="shared" ref="N2:N31" si="1">IF(M2&gt;=0.8,1,0)</f>
        <v>1</v>
      </c>
      <c r="O2">
        <f t="shared" ref="O2:O31" si="2">IF(M2&lt;=0.2,1,0)</f>
        <v>0</v>
      </c>
      <c r="P2">
        <f t="shared" ref="P2:P31" si="3">IF(G2&gt;0,1,0)</f>
        <v>1</v>
      </c>
      <c r="Q2">
        <f t="shared" ref="Q2:Q31" si="4">IF(G2&lt;0,1,0)</f>
        <v>0</v>
      </c>
      <c r="R2">
        <f t="shared" ref="R2:R31" si="5">IF(G2&gt;=1,1,0)</f>
        <v>0</v>
      </c>
      <c r="S2">
        <f t="shared" ref="S2:S31" si="6">IF(G2&lt;=-1,1,0)</f>
        <v>0</v>
      </c>
      <c r="T2" s="8">
        <f>(IF(J2&lt;&gt;"",J2,IF(Raw_VN30_Statistic!R2="",0,Raw_VN30_Statistic!R2/SUM(Raw_VN30_Statistic!$R$2:$R$31))))*G2</f>
        <v>1.5031205405670277E-2</v>
      </c>
      <c r="U2" s="8">
        <f>(IF(J2&lt;&gt;"",J2,IF(Raw_VN30_Statistic!R2="",0,Raw_VN30_Statistic!R2/SUM(Raw_VN30_Statistic!$R$2:$R$31))))*M2</f>
        <v>3.2078792024296289E-2</v>
      </c>
      <c r="V2">
        <f>IFERROR(_xlfn.XLOOKUP(A2,[1]Raw_VN30_Influence!$B$2:$B$31,[1]Raw_VN30_Influence!$I$2:$I$31),"")</f>
        <v>1.4159999999999999</v>
      </c>
      <c r="W2">
        <f>IFERROR(_xlfn.XLOOKUP(A2,[1]Raw_VN30_Influence!$B$2:$B$31,[1]Raw_VN30_Influence!$H$2:$H$31),"")</f>
        <v>6.9000000000000006E-2</v>
      </c>
      <c r="X2">
        <f>IFERROR(_xlfn.XLOOKUP(A2,[1]Raw_VN30_Influence!$B$2:$B$31,[1]Raw_VN30_Influence!$G$2:$G$31),"")</f>
        <v>3.6726999999999999</v>
      </c>
    </row>
    <row r="3" spans="1:24" x14ac:dyDescent="0.45">
      <c r="A3" t="str">
        <f>Raw_VN30_Statistic!C3</f>
        <v>BID</v>
      </c>
      <c r="B3">
        <f>Raw_VN30_Statistic!D3</f>
        <v>48.45</v>
      </c>
      <c r="C3">
        <f>Raw_VN30_Statistic!F3</f>
        <v>47.9</v>
      </c>
      <c r="D3">
        <f>Raw_VN30_Statistic!G3</f>
        <v>49.1</v>
      </c>
      <c r="E3">
        <f>Raw_VN30_Statistic!H3</f>
        <v>47.5</v>
      </c>
      <c r="F3">
        <f>IF(ISNUMBER(Raw_VN30_Statistic!J3),Raw_VN30_Statistic!J3,(C3-B3))</f>
        <v>-550</v>
      </c>
      <c r="G3">
        <f>IF(ISNUMBER(Raw_VN30_Statistic!K3),Raw_VN30_Statistic!K3,IF(B3=0,0,F3/B3*100))</f>
        <v>-1.1399999999999999</v>
      </c>
      <c r="H3">
        <f>Raw_VN30_Statistic!P3</f>
        <v>6519700</v>
      </c>
      <c r="I3">
        <f>IF(Raw_VN30_Statistic!Q3="",0,Raw_VN30_Statistic!Q3/1000)</f>
        <v>312.959</v>
      </c>
      <c r="J3">
        <f>IFERROR(
  _xlfn.XLOOKUP(A3,Raw_VN30_Influence!$B$2:$B$30,Raw_VN30_Influence!$G$2:$G$30)
  /SUM(Raw_VN30_Influence!$G$2:$G$31),"")</f>
        <v>4.6010598137775803E-3</v>
      </c>
      <c r="K3">
        <f>IF(COUNTIF(Settings!$A:$A,A3)&gt;0,1,0)</f>
        <v>1</v>
      </c>
      <c r="L3">
        <f t="shared" ref="L3:L31" si="7">IF(J3&gt;=_xlfn.PERCENTILE.INC($J$2:$J$31,0.8),1,0)</f>
        <v>0</v>
      </c>
      <c r="M3" s="9">
        <f t="shared" si="0"/>
        <v>0.24999999999999889</v>
      </c>
      <c r="N3">
        <f t="shared" si="1"/>
        <v>0</v>
      </c>
      <c r="O3">
        <f t="shared" si="2"/>
        <v>0</v>
      </c>
      <c r="P3">
        <f t="shared" si="3"/>
        <v>0</v>
      </c>
      <c r="Q3">
        <f t="shared" si="4"/>
        <v>1</v>
      </c>
      <c r="R3">
        <f t="shared" si="5"/>
        <v>0</v>
      </c>
      <c r="S3">
        <f t="shared" si="6"/>
        <v>1</v>
      </c>
      <c r="T3" s="8">
        <f>(IF(J3&lt;&gt;"",J3,IF(Raw_VN30_Statistic!R3="",0,Raw_VN30_Statistic!R3/SUM(Raw_VN30_Statistic!$R$2:$R$31))))*G3</f>
        <v>-5.245208187706441E-3</v>
      </c>
      <c r="U3" s="8">
        <f>(IF(J3&lt;&gt;"",J3,IF(Raw_VN30_Statistic!R3="",0,Raw_VN30_Statistic!R3/SUM(Raw_VN30_Statistic!$R$2:$R$31))))*M3</f>
        <v>1.1502649534443899E-3</v>
      </c>
      <c r="V3">
        <f>IFERROR(_xlfn.XLOOKUP(A3,[1]Raw_VN30_Influence!$B$2:$B$31,[1]Raw_VN30_Influence!$I$2:$I$31),"")</f>
        <v>-4.9000000000000002E-2</v>
      </c>
      <c r="W3">
        <f>IFERROR(_xlfn.XLOOKUP(A3,[1]Raw_VN30_Influence!$B$2:$B$31,[1]Raw_VN30_Influence!$H$2:$H$31),"")</f>
        <v>-2.3999999999999998E-3</v>
      </c>
      <c r="X3">
        <f>IFERROR(_xlfn.XLOOKUP(A3,[1]Raw_VN30_Influence!$B$2:$B$31,[1]Raw_VN30_Influence!$G$2:$G$31),"")</f>
        <v>0.46860000000000002</v>
      </c>
    </row>
    <row r="4" spans="1:24" x14ac:dyDescent="0.45">
      <c r="A4" t="str">
        <f>Raw_VN30_Statistic!C4</f>
        <v>CTG</v>
      </c>
      <c r="B4">
        <f>Raw_VN30_Statistic!D4</f>
        <v>38.5</v>
      </c>
      <c r="C4">
        <f>Raw_VN30_Statistic!F4</f>
        <v>38.25</v>
      </c>
      <c r="D4">
        <f>Raw_VN30_Statistic!G4</f>
        <v>38.450000000000003</v>
      </c>
      <c r="E4">
        <f>Raw_VN30_Statistic!H4</f>
        <v>38.049999999999997</v>
      </c>
      <c r="F4">
        <f>IF(ISNUMBER(Raw_VN30_Statistic!J4),Raw_VN30_Statistic!J4,(C4-B4))</f>
        <v>-250</v>
      </c>
      <c r="G4">
        <f>IF(ISNUMBER(Raw_VN30_Statistic!K4),Raw_VN30_Statistic!K4,IF(B4=0,0,F4/B4*100))</f>
        <v>-0.65</v>
      </c>
      <c r="H4">
        <f>Raw_VN30_Statistic!P4</f>
        <v>10957400</v>
      </c>
      <c r="I4">
        <f>IF(Raw_VN30_Statistic!Q4="",0,Raw_VN30_Statistic!Q4/1000)</f>
        <v>418.86200000000002</v>
      </c>
      <c r="J4">
        <f>IFERROR(
  _xlfn.XLOOKUP(A4,Raw_VN30_Influence!$B$2:$B$30,Raw_VN30_Influence!$G$2:$G$30)
  /SUM(Raw_VN30_Influence!$G$2:$G$31),"")</f>
        <v>1.5241198135575767E-2</v>
      </c>
      <c r="K4">
        <f>IF(COUNTIF(Settings!$A:$A,A4)&gt;0,1,0)</f>
        <v>1</v>
      </c>
      <c r="L4">
        <f t="shared" si="7"/>
        <v>0</v>
      </c>
      <c r="M4" s="9">
        <f t="shared" si="0"/>
        <v>0.5</v>
      </c>
      <c r="N4">
        <f t="shared" si="1"/>
        <v>0</v>
      </c>
      <c r="O4">
        <f t="shared" si="2"/>
        <v>0</v>
      </c>
      <c r="P4">
        <f t="shared" si="3"/>
        <v>0</v>
      </c>
      <c r="Q4">
        <f t="shared" si="4"/>
        <v>1</v>
      </c>
      <c r="R4">
        <f t="shared" si="5"/>
        <v>0</v>
      </c>
      <c r="S4">
        <f t="shared" si="6"/>
        <v>0</v>
      </c>
      <c r="T4" s="8">
        <f>(IF(J4&lt;&gt;"",J4,IF(Raw_VN30_Statistic!R4="",0,Raw_VN30_Statistic!R4/SUM(Raw_VN30_Statistic!$R$2:$R$31))))*G4</f>
        <v>-9.9067787881242479E-3</v>
      </c>
      <c r="U4" s="8">
        <f>(IF(J4&lt;&gt;"",J4,IF(Raw_VN30_Statistic!R4="",0,Raw_VN30_Statistic!R4/SUM(Raw_VN30_Statistic!$R$2:$R$31))))*M4</f>
        <v>7.6205990677878834E-3</v>
      </c>
      <c r="V4">
        <f>IFERROR(_xlfn.XLOOKUP(A4,[1]Raw_VN30_Influence!$B$2:$B$31,[1]Raw_VN30_Influence!$I$2:$I$31),"")</f>
        <v>0.25</v>
      </c>
      <c r="W4">
        <f>IFERROR(_xlfn.XLOOKUP(A4,[1]Raw_VN30_Influence!$B$2:$B$31,[1]Raw_VN30_Influence!$H$2:$H$31),"")</f>
        <v>1.2200000000000001E-2</v>
      </c>
      <c r="X4">
        <f>IFERROR(_xlfn.XLOOKUP(A4,[1]Raw_VN30_Influence!$B$2:$B$31,[1]Raw_VN30_Influence!$G$2:$G$31),"")</f>
        <v>1.5430999999999999</v>
      </c>
    </row>
    <row r="5" spans="1:24" x14ac:dyDescent="0.45">
      <c r="A5" t="str">
        <f>Raw_VN30_Statistic!C5</f>
        <v>DGC</v>
      </c>
      <c r="B5">
        <f>Raw_VN30_Statistic!D5</f>
        <v>73.599999999999994</v>
      </c>
      <c r="C5">
        <f>Raw_VN30_Statistic!F5</f>
        <v>73.8</v>
      </c>
      <c r="D5">
        <f>Raw_VN30_Statistic!G5</f>
        <v>74.5</v>
      </c>
      <c r="E5">
        <f>Raw_VN30_Statistic!H5</f>
        <v>72</v>
      </c>
      <c r="F5">
        <f>IF(ISNUMBER(Raw_VN30_Statistic!J5),Raw_VN30_Statistic!J5,(C5-B5))</f>
        <v>200</v>
      </c>
      <c r="G5">
        <f>IF(ISNUMBER(Raw_VN30_Statistic!K5),Raw_VN30_Statistic!K5,IF(B5=0,0,F5/B5*100))</f>
        <v>0.27</v>
      </c>
      <c r="H5">
        <f>Raw_VN30_Statistic!P5</f>
        <v>4426300</v>
      </c>
      <c r="I5">
        <f>IF(Raw_VN30_Statistic!Q5="",0,Raw_VN30_Statistic!Q5/1000)</f>
        <v>327.06700000000001</v>
      </c>
      <c r="J5">
        <f>IFERROR(
  _xlfn.XLOOKUP(A5,Raw_VN30_Influence!$B$2:$B$30,Raw_VN30_Influence!$G$2:$G$30)
  /SUM(Raw_VN30_Influence!$G$2:$G$31),"")</f>
        <v>1.2708165206147683E-2</v>
      </c>
      <c r="K5">
        <f>IF(COUNTIF(Settings!$A:$A,A5)&gt;0,1,0)</f>
        <v>0</v>
      </c>
      <c r="L5">
        <f t="shared" si="7"/>
        <v>0</v>
      </c>
      <c r="M5" s="9">
        <f t="shared" si="0"/>
        <v>0.71999999999999886</v>
      </c>
      <c r="N5">
        <f t="shared" si="1"/>
        <v>0</v>
      </c>
      <c r="O5">
        <f t="shared" si="2"/>
        <v>0</v>
      </c>
      <c r="P5">
        <f t="shared" si="3"/>
        <v>1</v>
      </c>
      <c r="Q5">
        <f t="shared" si="4"/>
        <v>0</v>
      </c>
      <c r="R5">
        <f t="shared" si="5"/>
        <v>0</v>
      </c>
      <c r="S5">
        <f t="shared" si="6"/>
        <v>0</v>
      </c>
      <c r="T5" s="8">
        <f>(IF(J5&lt;&gt;"",J5,IF(Raw_VN30_Statistic!R5="",0,Raw_VN30_Statistic!R5/SUM(Raw_VN30_Statistic!$R$2:$R$31))))*G5</f>
        <v>3.4312046056598744E-3</v>
      </c>
      <c r="U5" s="8">
        <f>(IF(J5&lt;&gt;"",J5,IF(Raw_VN30_Statistic!R5="",0,Raw_VN30_Statistic!R5/SUM(Raw_VN30_Statistic!$R$2:$R$31))))*M5</f>
        <v>9.1498789484263168E-3</v>
      </c>
      <c r="V5">
        <f>IFERROR(_xlfn.XLOOKUP(A5,[1]Raw_VN30_Influence!$B$2:$B$31,[1]Raw_VN30_Influence!$I$2:$I$31),"")</f>
        <v>0.32400000000000001</v>
      </c>
      <c r="W5">
        <f>IFERROR(_xlfn.XLOOKUP(A5,[1]Raw_VN30_Influence!$B$2:$B$31,[1]Raw_VN30_Influence!$H$2:$H$31),"")</f>
        <v>1.5800000000000002E-2</v>
      </c>
      <c r="X5">
        <f>IFERROR(_xlfn.XLOOKUP(A5,[1]Raw_VN30_Influence!$B$2:$B$31,[1]Raw_VN30_Influence!$G$2:$G$31),"")</f>
        <v>1.3164</v>
      </c>
    </row>
    <row r="6" spans="1:24" x14ac:dyDescent="0.45">
      <c r="A6" t="str">
        <f>Raw_VN30_Statistic!C6</f>
        <v>FPT</v>
      </c>
      <c r="B6">
        <f>Raw_VN30_Statistic!D6</f>
        <v>90.5</v>
      </c>
      <c r="C6">
        <f>Raw_VN30_Statistic!F6</f>
        <v>92.9</v>
      </c>
      <c r="D6">
        <f>Raw_VN30_Statistic!G6</f>
        <v>93.5</v>
      </c>
      <c r="E6">
        <f>Raw_VN30_Statistic!H6</f>
        <v>90.3</v>
      </c>
      <c r="F6">
        <f>IF(ISNUMBER(Raw_VN30_Statistic!J6),Raw_VN30_Statistic!J6,(C6-B6))</f>
        <v>2400</v>
      </c>
      <c r="G6">
        <f>IF(ISNUMBER(Raw_VN30_Statistic!K6),Raw_VN30_Statistic!K6,IF(B6=0,0,F6/B6*100))</f>
        <v>2.65</v>
      </c>
      <c r="H6">
        <f>Raw_VN30_Statistic!P6</f>
        <v>19505600</v>
      </c>
      <c r="I6">
        <f>IF(Raw_VN30_Statistic!Q6="",0,Raw_VN30_Statistic!Q6/1000)</f>
        <v>1788.4670000000001</v>
      </c>
      <c r="J6">
        <f>IFERROR(
  _xlfn.XLOOKUP(A6,Raw_VN30_Influence!$B$2:$B$30,Raw_VN30_Influence!$G$2:$G$30)
  /SUM(Raw_VN30_Influence!$G$2:$G$31),"")</f>
        <v>8.9720166362162734E-2</v>
      </c>
      <c r="K6">
        <f>IF(COUNTIF(Settings!$A:$A,A6)&gt;0,1,0)</f>
        <v>0</v>
      </c>
      <c r="L6">
        <f t="shared" si="7"/>
        <v>1</v>
      </c>
      <c r="M6" s="9">
        <f t="shared" si="0"/>
        <v>0.812500000000002</v>
      </c>
      <c r="N6">
        <f t="shared" si="1"/>
        <v>1</v>
      </c>
      <c r="O6">
        <f t="shared" si="2"/>
        <v>0</v>
      </c>
      <c r="P6">
        <f t="shared" si="3"/>
        <v>1</v>
      </c>
      <c r="Q6">
        <f t="shared" si="4"/>
        <v>0</v>
      </c>
      <c r="R6">
        <f t="shared" si="5"/>
        <v>1</v>
      </c>
      <c r="S6">
        <f t="shared" si="6"/>
        <v>0</v>
      </c>
      <c r="T6" s="8">
        <f>(IF(J6&lt;&gt;"",J6,IF(Raw_VN30_Statistic!R6="",0,Raw_VN30_Statistic!R6/SUM(Raw_VN30_Statistic!$R$2:$R$31))))*G6</f>
        <v>0.23775844085973125</v>
      </c>
      <c r="U6" s="8">
        <f>(IF(J6&lt;&gt;"",J6,IF(Raw_VN30_Statistic!R6="",0,Raw_VN30_Statistic!R6/SUM(Raw_VN30_Statistic!$R$2:$R$31))))*M6</f>
        <v>7.2897635169257402E-2</v>
      </c>
      <c r="V6">
        <f>IFERROR(_xlfn.XLOOKUP(A6,[1]Raw_VN30_Influence!$B$2:$B$31,[1]Raw_VN30_Influence!$I$2:$I$31),"")</f>
        <v>-6.5326000000000004</v>
      </c>
      <c r="W6">
        <f>IFERROR(_xlfn.XLOOKUP(A6,[1]Raw_VN30_Influence!$B$2:$B$31,[1]Raw_VN30_Influence!$H$2:$H$31),"")</f>
        <v>-0.31850000000000001</v>
      </c>
      <c r="X6">
        <f>IFERROR(_xlfn.XLOOKUP(A6,[1]Raw_VN30_Influence!$B$2:$B$31,[1]Raw_VN30_Influence!$G$2:$G$31),"")</f>
        <v>8.6556999999999995</v>
      </c>
    </row>
    <row r="7" spans="1:24" x14ac:dyDescent="0.45">
      <c r="A7" t="str">
        <f>Raw_VN30_Statistic!C7</f>
        <v>GAS</v>
      </c>
      <c r="B7">
        <f>Raw_VN30_Statistic!D7</f>
        <v>106</v>
      </c>
      <c r="C7">
        <f>Raw_VN30_Statistic!F7</f>
        <v>107.9</v>
      </c>
      <c r="D7">
        <f>Raw_VN30_Statistic!G7</f>
        <v>111.9</v>
      </c>
      <c r="E7">
        <f>Raw_VN30_Statistic!H7</f>
        <v>105.5</v>
      </c>
      <c r="F7">
        <f>IF(ISNUMBER(Raw_VN30_Statistic!J7),Raw_VN30_Statistic!J7,(C7-B7))</f>
        <v>1900</v>
      </c>
      <c r="G7">
        <f>IF(ISNUMBER(Raw_VN30_Statistic!K7),Raw_VN30_Statistic!K7,IF(B7=0,0,F7/B7*100))</f>
        <v>1.79</v>
      </c>
      <c r="H7">
        <f>Raw_VN30_Statistic!P7</f>
        <v>2827100</v>
      </c>
      <c r="I7">
        <f>IF(Raw_VN30_Statistic!Q7="",0,Raw_VN30_Statistic!Q7/1000)</f>
        <v>304.21300000000002</v>
      </c>
      <c r="J7">
        <f>IFERROR(
  _xlfn.XLOOKUP(A7,Raw_VN30_Influence!$B$2:$B$30,Raw_VN30_Influence!$G$2:$G$30)
  /SUM(Raw_VN30_Influence!$G$2:$G$31),"")</f>
        <v>9.8371278826624772E-3</v>
      </c>
      <c r="K7">
        <f>IF(COUNTIF(Settings!$A:$A,A7)&gt;0,1,0)</f>
        <v>0</v>
      </c>
      <c r="L7">
        <f t="shared" si="7"/>
        <v>0</v>
      </c>
      <c r="M7" s="9">
        <f t="shared" si="0"/>
        <v>0.37500000000000056</v>
      </c>
      <c r="N7">
        <f t="shared" si="1"/>
        <v>0</v>
      </c>
      <c r="O7">
        <f t="shared" si="2"/>
        <v>0</v>
      </c>
      <c r="P7">
        <f t="shared" si="3"/>
        <v>1</v>
      </c>
      <c r="Q7">
        <f t="shared" si="4"/>
        <v>0</v>
      </c>
      <c r="R7">
        <f t="shared" si="5"/>
        <v>1</v>
      </c>
      <c r="S7">
        <f t="shared" si="6"/>
        <v>0</v>
      </c>
      <c r="T7" s="8">
        <f>(IF(J7&lt;&gt;"",J7,IF(Raw_VN30_Statistic!R7="",0,Raw_VN30_Statistic!R7/SUM(Raw_VN30_Statistic!$R$2:$R$31))))*G7</f>
        <v>1.7608458909965836E-2</v>
      </c>
      <c r="U7" s="8">
        <f>(IF(J7&lt;&gt;"",J7,IF(Raw_VN30_Statistic!R7="",0,Raw_VN30_Statistic!R7/SUM(Raw_VN30_Statistic!$R$2:$R$31))))*M7</f>
        <v>3.6889229559984344E-3</v>
      </c>
      <c r="V7">
        <f>IFERROR(_xlfn.XLOOKUP(A7,[1]Raw_VN30_Influence!$B$2:$B$31,[1]Raw_VN30_Influence!$I$2:$I$31),"")</f>
        <v>-9.3100000000000002E-2</v>
      </c>
      <c r="W7">
        <f>IFERROR(_xlfn.XLOOKUP(A7,[1]Raw_VN30_Influence!$B$2:$B$31,[1]Raw_VN30_Influence!$H$2:$H$31),"")</f>
        <v>-4.4999999999999997E-3</v>
      </c>
      <c r="X7">
        <f>IFERROR(_xlfn.XLOOKUP(A7,[1]Raw_VN30_Influence!$B$2:$B$31,[1]Raw_VN30_Influence!$G$2:$G$31),"")</f>
        <v>1.0087999999999999</v>
      </c>
    </row>
    <row r="8" spans="1:24" x14ac:dyDescent="0.45">
      <c r="A8" t="str">
        <f>Raw_VN30_Statistic!C8</f>
        <v>GVR</v>
      </c>
      <c r="B8">
        <f>Raw_VN30_Statistic!D8</f>
        <v>40.799999999999997</v>
      </c>
      <c r="C8">
        <f>Raw_VN30_Statistic!F8</f>
        <v>40</v>
      </c>
      <c r="D8">
        <f>Raw_VN30_Statistic!G8</f>
        <v>42.3</v>
      </c>
      <c r="E8">
        <f>Raw_VN30_Statistic!H8</f>
        <v>39.799999999999997</v>
      </c>
      <c r="F8">
        <f>IF(ISNUMBER(Raw_VN30_Statistic!J8),Raw_VN30_Statistic!J8,(C8-B8))</f>
        <v>-800</v>
      </c>
      <c r="G8">
        <f>IF(ISNUMBER(Raw_VN30_Statistic!K8),Raw_VN30_Statistic!K8,IF(B8=0,0,F8/B8*100))</f>
        <v>-1.96</v>
      </c>
      <c r="H8">
        <f>Raw_VN30_Statistic!P8</f>
        <v>6357900</v>
      </c>
      <c r="I8">
        <f>IF(Raw_VN30_Statistic!Q8="",0,Raw_VN30_Statistic!Q8/1000)</f>
        <v>259.18799999999999</v>
      </c>
      <c r="J8">
        <f>IFERROR(
  _xlfn.XLOOKUP(A8,Raw_VN30_Influence!$B$2:$B$30,Raw_VN30_Influence!$G$2:$G$30)
  /SUM(Raw_VN30_Influence!$G$2:$G$31),"")</f>
        <v>4.8360628688172954E-3</v>
      </c>
      <c r="K8">
        <f>IF(COUNTIF(Settings!$A:$A,A8)&gt;0,1,0)</f>
        <v>0</v>
      </c>
      <c r="L8">
        <f t="shared" si="7"/>
        <v>0</v>
      </c>
      <c r="M8" s="9">
        <f t="shared" si="0"/>
        <v>8.000000000000114E-2</v>
      </c>
      <c r="N8">
        <f t="shared" si="1"/>
        <v>0</v>
      </c>
      <c r="O8">
        <f t="shared" si="2"/>
        <v>1</v>
      </c>
      <c r="P8">
        <f t="shared" si="3"/>
        <v>0</v>
      </c>
      <c r="Q8">
        <f t="shared" si="4"/>
        <v>1</v>
      </c>
      <c r="R8">
        <f t="shared" si="5"/>
        <v>0</v>
      </c>
      <c r="S8">
        <f t="shared" si="6"/>
        <v>1</v>
      </c>
      <c r="T8" s="8">
        <f>(IF(J8&lt;&gt;"",J8,IF(Raw_VN30_Statistic!R8="",0,Raw_VN30_Statistic!R8/SUM(Raw_VN30_Statistic!$R$2:$R$31))))*G8</f>
        <v>-9.4786832228818986E-3</v>
      </c>
      <c r="U8" s="8">
        <f>(IF(J8&lt;&gt;"",J8,IF(Raw_VN30_Statistic!R8="",0,Raw_VN30_Statistic!R8/SUM(Raw_VN30_Statistic!$R$2:$R$31))))*M8</f>
        <v>3.8688502950538913E-4</v>
      </c>
      <c r="V8">
        <f>IFERROR(_xlfn.XLOOKUP(A8,[1]Raw_VN30_Influence!$B$2:$B$31,[1]Raw_VN30_Influence!$I$2:$I$31),"")</f>
        <v>0.73360000000000003</v>
      </c>
      <c r="W8">
        <f>IFERROR(_xlfn.XLOOKUP(A8,[1]Raw_VN30_Influence!$B$2:$B$31,[1]Raw_VN30_Influence!$H$2:$H$31),"")</f>
        <v>3.5799999999999998E-2</v>
      </c>
      <c r="X8">
        <f>IFERROR(_xlfn.XLOOKUP(A8,[1]Raw_VN30_Influence!$B$2:$B$31,[1]Raw_VN30_Influence!$G$2:$G$31),"")</f>
        <v>0.51319999999999999</v>
      </c>
    </row>
    <row r="9" spans="1:24" x14ac:dyDescent="0.45">
      <c r="A9" t="str">
        <f>Raw_VN30_Statistic!C9</f>
        <v>HDB</v>
      </c>
      <c r="B9">
        <f>Raw_VN30_Statistic!D9</f>
        <v>28.4</v>
      </c>
      <c r="C9">
        <f>Raw_VN30_Statistic!F9</f>
        <v>27.95</v>
      </c>
      <c r="D9">
        <f>Raw_VN30_Statistic!G9</f>
        <v>28.4</v>
      </c>
      <c r="E9">
        <f>Raw_VN30_Statistic!H9</f>
        <v>27.95</v>
      </c>
      <c r="F9">
        <f>IF(ISNUMBER(Raw_VN30_Statistic!J9),Raw_VN30_Statistic!J9,(C9-B9))</f>
        <v>-450</v>
      </c>
      <c r="G9">
        <f>IF(ISNUMBER(Raw_VN30_Statistic!K9),Raw_VN30_Statistic!K9,IF(B9=0,0,F9/B9*100))</f>
        <v>-1.58</v>
      </c>
      <c r="H9">
        <f>Raw_VN30_Statistic!P9</f>
        <v>21074171</v>
      </c>
      <c r="I9">
        <f>IF(Raw_VN30_Statistic!Q9="",0,Raw_VN30_Statistic!Q9/1000)</f>
        <v>591.08900000000006</v>
      </c>
      <c r="J9">
        <f>IFERROR(
  _xlfn.XLOOKUP(A9,Raw_VN30_Influence!$B$2:$B$30,Raw_VN30_Influence!$G$2:$G$30)
  /SUM(Raw_VN30_Influence!$G$2:$G$31),"")</f>
        <v>3.8278497620469074E-2</v>
      </c>
      <c r="K9">
        <f>IF(COUNTIF(Settings!$A:$A,A9)&gt;0,1,0)</f>
        <v>1</v>
      </c>
      <c r="L9">
        <f t="shared" si="7"/>
        <v>0</v>
      </c>
      <c r="M9" s="9">
        <f t="shared" si="0"/>
        <v>0</v>
      </c>
      <c r="N9">
        <f t="shared" si="1"/>
        <v>0</v>
      </c>
      <c r="O9">
        <f t="shared" si="2"/>
        <v>1</v>
      </c>
      <c r="P9">
        <f t="shared" si="3"/>
        <v>0</v>
      </c>
      <c r="Q9">
        <f t="shared" si="4"/>
        <v>1</v>
      </c>
      <c r="R9">
        <f t="shared" si="5"/>
        <v>0</v>
      </c>
      <c r="S9">
        <f t="shared" si="6"/>
        <v>1</v>
      </c>
      <c r="T9" s="8">
        <f>(IF(J9&lt;&gt;"",J9,IF(Raw_VN30_Statistic!R9="",0,Raw_VN30_Statistic!R9/SUM(Raw_VN30_Statistic!$R$2:$R$31))))*G9</f>
        <v>-6.0480026240341142E-2</v>
      </c>
      <c r="U9" s="8">
        <f>(IF(J9&lt;&gt;"",J9,IF(Raw_VN30_Statistic!R9="",0,Raw_VN30_Statistic!R9/SUM(Raw_VN30_Statistic!$R$2:$R$31))))*M9</f>
        <v>0</v>
      </c>
      <c r="V9">
        <f>IFERROR(_xlfn.XLOOKUP(A9,[1]Raw_VN30_Influence!$B$2:$B$31,[1]Raw_VN30_Influence!$I$2:$I$31),"")</f>
        <v>-0.1447</v>
      </c>
      <c r="W9">
        <f>IFERROR(_xlfn.XLOOKUP(A9,[1]Raw_VN30_Influence!$B$2:$B$31,[1]Raw_VN30_Influence!$H$2:$H$31),"")</f>
        <v>-7.1000000000000004E-3</v>
      </c>
      <c r="X9">
        <f>IFERROR(_xlfn.XLOOKUP(A9,[1]Raw_VN30_Influence!$B$2:$B$31,[1]Raw_VN30_Influence!$G$2:$G$31),"")</f>
        <v>3.9192999999999998</v>
      </c>
    </row>
    <row r="10" spans="1:24" x14ac:dyDescent="0.45">
      <c r="A10" t="str">
        <f>Raw_VN30_Statistic!C10</f>
        <v>HPG</v>
      </c>
      <c r="B10">
        <f>Raw_VN30_Statistic!D10</f>
        <v>29.4</v>
      </c>
      <c r="C10">
        <f>Raw_VN30_Statistic!F10</f>
        <v>28.8</v>
      </c>
      <c r="D10">
        <f>Raw_VN30_Statistic!G10</f>
        <v>29.4</v>
      </c>
      <c r="E10">
        <f>Raw_VN30_Statistic!H10</f>
        <v>28.8</v>
      </c>
      <c r="F10">
        <f>IF(ISNUMBER(Raw_VN30_Statistic!J10),Raw_VN30_Statistic!J10,(C10-B10))</f>
        <v>-600</v>
      </c>
      <c r="G10">
        <f>IF(ISNUMBER(Raw_VN30_Statistic!K10),Raw_VN30_Statistic!K10,IF(B10=0,0,F10/B10*100))</f>
        <v>-2.04</v>
      </c>
      <c r="H10">
        <f>Raw_VN30_Statistic!P10</f>
        <v>50056500</v>
      </c>
      <c r="I10">
        <f>IF(Raw_VN30_Statistic!Q10="",0,Raw_VN30_Statistic!Q10/1000)</f>
        <v>1452.9970000000001</v>
      </c>
      <c r="J10" t="str">
        <f>IFERROR(
  _xlfn.XLOOKUP(A10,Raw_VN30_Influence!$B$2:$B$30,Raw_VN30_Influence!$G$2:$G$30)
  /SUM(Raw_VN30_Influence!$G$2:$G$31),"")</f>
        <v/>
      </c>
      <c r="K10">
        <f>IF(COUNTIF(Settings!$A:$A,A10)&gt;0,1,0)</f>
        <v>0</v>
      </c>
      <c r="L10">
        <f t="shared" si="7"/>
        <v>1</v>
      </c>
      <c r="M10" s="9">
        <f t="shared" si="0"/>
        <v>0</v>
      </c>
      <c r="N10">
        <f t="shared" si="1"/>
        <v>0</v>
      </c>
      <c r="O10">
        <f t="shared" si="2"/>
        <v>1</v>
      </c>
      <c r="P10">
        <f t="shared" si="3"/>
        <v>0</v>
      </c>
      <c r="Q10">
        <f t="shared" si="4"/>
        <v>1</v>
      </c>
      <c r="R10">
        <f t="shared" si="5"/>
        <v>0</v>
      </c>
      <c r="S10">
        <f t="shared" si="6"/>
        <v>1</v>
      </c>
      <c r="T10" s="8">
        <f>(IF(J10&lt;&gt;"",J10,IF(Raw_VN30_Statistic!R10="",0,Raw_VN30_Statistic!R10/SUM(Raw_VN30_Statistic!$R$2:$R$31))))*G10</f>
        <v>-7.2992768445135955E-2</v>
      </c>
      <c r="U10" s="8">
        <f>(IF(J10&lt;&gt;"",J10,IF(Raw_VN30_Statistic!R10="",0,Raw_VN30_Statistic!R10/SUM(Raw_VN30_Statistic!$R$2:$R$31))))*M10</f>
        <v>0</v>
      </c>
      <c r="V10">
        <f>IFERROR(_xlfn.XLOOKUP(A10,[1]Raw_VN30_Influence!$B$2:$B$31,[1]Raw_VN30_Influence!$I$2:$I$31),"")</f>
        <v>6.8068</v>
      </c>
      <c r="W10">
        <f>IFERROR(_xlfn.XLOOKUP(A10,[1]Raw_VN30_Influence!$B$2:$B$31,[1]Raw_VN30_Influence!$H$2:$H$31),"")</f>
        <v>0.33189999999999997</v>
      </c>
      <c r="X10">
        <f>IFERROR(_xlfn.XLOOKUP(A10,[1]Raw_VN30_Influence!$B$2:$B$31,[1]Raw_VN30_Influence!$G$2:$G$31),"")</f>
        <v>9.4023000000000003</v>
      </c>
    </row>
    <row r="11" spans="1:24" x14ac:dyDescent="0.45">
      <c r="A11" t="str">
        <f>Raw_VN30_Statistic!C11</f>
        <v>LPB</v>
      </c>
      <c r="B11">
        <f>Raw_VN30_Statistic!D11</f>
        <v>43.15</v>
      </c>
      <c r="C11">
        <f>Raw_VN30_Statistic!F11</f>
        <v>43.05</v>
      </c>
      <c r="D11">
        <f>Raw_VN30_Statistic!G11</f>
        <v>44.3</v>
      </c>
      <c r="E11">
        <f>Raw_VN30_Statistic!H11</f>
        <v>42.75</v>
      </c>
      <c r="F11">
        <f>IF(ISNUMBER(Raw_VN30_Statistic!J11),Raw_VN30_Statistic!J11,(C11-B11))</f>
        <v>-100</v>
      </c>
      <c r="G11">
        <f>IF(ISNUMBER(Raw_VN30_Statistic!K11),Raw_VN30_Statistic!K11,IF(B11=0,0,F11/B11*100))</f>
        <v>-0.23</v>
      </c>
      <c r="H11">
        <f>Raw_VN30_Statistic!P11</f>
        <v>1509700</v>
      </c>
      <c r="I11">
        <f>IF(Raw_VN30_Statistic!Q11="",0,Raw_VN30_Statistic!Q11/1000)</f>
        <v>65.347999999999999</v>
      </c>
      <c r="J11">
        <f>IFERROR(
  _xlfn.XLOOKUP(A11,Raw_VN30_Influence!$B$2:$B$30,Raw_VN30_Influence!$G$2:$G$30)
  /SUM(Raw_VN30_Influence!$G$2:$G$31),"")</f>
        <v>4.1785543212061765E-2</v>
      </c>
      <c r="K11">
        <f>IF(COUNTIF(Settings!$A:$A,A11)&gt;0,1,0)</f>
        <v>1</v>
      </c>
      <c r="L11">
        <f t="shared" si="7"/>
        <v>0</v>
      </c>
      <c r="M11" s="9">
        <f t="shared" si="0"/>
        <v>0.19354838709677272</v>
      </c>
      <c r="N11">
        <f t="shared" si="1"/>
        <v>0</v>
      </c>
      <c r="O11">
        <f t="shared" si="2"/>
        <v>1</v>
      </c>
      <c r="P11">
        <f t="shared" si="3"/>
        <v>0</v>
      </c>
      <c r="Q11">
        <f t="shared" si="4"/>
        <v>1</v>
      </c>
      <c r="R11">
        <f t="shared" si="5"/>
        <v>0</v>
      </c>
      <c r="S11">
        <f t="shared" si="6"/>
        <v>0</v>
      </c>
      <c r="T11" s="8">
        <f>(IF(J11&lt;&gt;"",J11,IF(Raw_VN30_Statistic!R11="",0,Raw_VN30_Statistic!R11/SUM(Raw_VN30_Statistic!$R$2:$R$31))))*G11</f>
        <v>-9.6106749387742073E-3</v>
      </c>
      <c r="U11" s="8">
        <f>(IF(J11&lt;&gt;"",J11,IF(Raw_VN30_Statistic!R11="",0,Raw_VN30_Statistic!R11/SUM(Raw_VN30_Statistic!$R$2:$R$31))))*M11</f>
        <v>8.0875244926570545E-3</v>
      </c>
      <c r="V11">
        <f>IFERROR(_xlfn.XLOOKUP(A11,[1]Raw_VN30_Influence!$B$2:$B$31,[1]Raw_VN30_Influence!$I$2:$I$31),"")</f>
        <v>-0.59289999999999998</v>
      </c>
      <c r="W11">
        <f>IFERROR(_xlfn.XLOOKUP(A11,[1]Raw_VN30_Influence!$B$2:$B$31,[1]Raw_VN30_Influence!$H$2:$H$31),"")</f>
        <v>-2.8899999999999999E-2</v>
      </c>
      <c r="X11">
        <f>IFERROR(_xlfn.XLOOKUP(A11,[1]Raw_VN30_Influence!$B$2:$B$31,[1]Raw_VN30_Influence!$G$2:$G$31),"")</f>
        <v>4.13</v>
      </c>
    </row>
    <row r="12" spans="1:24" x14ac:dyDescent="0.45">
      <c r="A12" t="str">
        <f>Raw_VN30_Statistic!C12</f>
        <v>MBB</v>
      </c>
      <c r="B12">
        <f>Raw_VN30_Statistic!D12</f>
        <v>28.8</v>
      </c>
      <c r="C12">
        <f>Raw_VN30_Statistic!F12</f>
        <v>28.5</v>
      </c>
      <c r="D12">
        <f>Raw_VN30_Statistic!G12</f>
        <v>28.85</v>
      </c>
      <c r="E12">
        <f>Raw_VN30_Statistic!H12</f>
        <v>28.5</v>
      </c>
      <c r="F12">
        <f>IF(ISNUMBER(Raw_VN30_Statistic!J12),Raw_VN30_Statistic!J12,(C12-B12))</f>
        <v>-300</v>
      </c>
      <c r="G12">
        <f>IF(ISNUMBER(Raw_VN30_Statistic!K12),Raw_VN30_Statistic!K12,IF(B12=0,0,F12/B12*100))</f>
        <v>-1.04</v>
      </c>
      <c r="H12">
        <f>Raw_VN30_Statistic!P12</f>
        <v>19533600</v>
      </c>
      <c r="I12">
        <f>IF(Raw_VN30_Statistic!Q12="",0,Raw_VN30_Statistic!Q12/1000)</f>
        <v>561.36699999999996</v>
      </c>
      <c r="J12">
        <f>IFERROR(
  _xlfn.XLOOKUP(A12,Raw_VN30_Influence!$B$2:$B$30,Raw_VN30_Influence!$G$2:$G$30)
  /SUM(Raw_VN30_Influence!$G$2:$G$31),"")</f>
        <v>3.9258510360634699E-2</v>
      </c>
      <c r="K12">
        <f>IF(COUNTIF(Settings!$A:$A,A12)&gt;0,1,0)</f>
        <v>1</v>
      </c>
      <c r="L12">
        <f t="shared" si="7"/>
        <v>0</v>
      </c>
      <c r="M12" s="9">
        <f t="shared" si="0"/>
        <v>0</v>
      </c>
      <c r="N12">
        <f t="shared" si="1"/>
        <v>0</v>
      </c>
      <c r="O12">
        <f t="shared" si="2"/>
        <v>1</v>
      </c>
      <c r="P12">
        <f t="shared" si="3"/>
        <v>0</v>
      </c>
      <c r="Q12">
        <f t="shared" si="4"/>
        <v>1</v>
      </c>
      <c r="R12">
        <f t="shared" si="5"/>
        <v>0</v>
      </c>
      <c r="S12">
        <f t="shared" si="6"/>
        <v>1</v>
      </c>
      <c r="T12" s="8">
        <f>(IF(J12&lt;&gt;"",J12,IF(Raw_VN30_Statistic!R12="",0,Raw_VN30_Statistic!R12/SUM(Raw_VN30_Statistic!$R$2:$R$31))))*G12</f>
        <v>-4.0828850775060085E-2</v>
      </c>
      <c r="U12" s="8">
        <f>(IF(J12&lt;&gt;"",J12,IF(Raw_VN30_Statistic!R12="",0,Raw_VN30_Statistic!R12/SUM(Raw_VN30_Statistic!$R$2:$R$31))))*M12</f>
        <v>0</v>
      </c>
      <c r="V12">
        <f>IFERROR(_xlfn.XLOOKUP(A12,[1]Raw_VN30_Influence!$B$2:$B$31,[1]Raw_VN30_Influence!$I$2:$I$31),"")</f>
        <v>1.4460999999999999</v>
      </c>
      <c r="W12">
        <f>IFERROR(_xlfn.XLOOKUP(A12,[1]Raw_VN30_Influence!$B$2:$B$31,[1]Raw_VN30_Influence!$H$2:$H$31),"")</f>
        <v>7.0499999999999993E-2</v>
      </c>
      <c r="X12">
        <f>IFERROR(_xlfn.XLOOKUP(A12,[1]Raw_VN30_Influence!$B$2:$B$31,[1]Raw_VN30_Influence!$G$2:$G$31),"")</f>
        <v>3.9836999999999998</v>
      </c>
    </row>
    <row r="13" spans="1:24" x14ac:dyDescent="0.45">
      <c r="A13" t="str">
        <f>Raw_VN30_Statistic!C13</f>
        <v>MSN</v>
      </c>
      <c r="B13">
        <f>Raw_VN30_Statistic!D13</f>
        <v>80.400000000000006</v>
      </c>
      <c r="C13">
        <f>Raw_VN30_Statistic!F13</f>
        <v>79</v>
      </c>
      <c r="D13">
        <f>Raw_VN30_Statistic!G13</f>
        <v>80.599999999999994</v>
      </c>
      <c r="E13">
        <f>Raw_VN30_Statistic!H13</f>
        <v>79</v>
      </c>
      <c r="F13">
        <f>IF(ISNUMBER(Raw_VN30_Statistic!J13),Raw_VN30_Statistic!J13,(C13-B13))</f>
        <v>-1400</v>
      </c>
      <c r="G13">
        <f>IF(ISNUMBER(Raw_VN30_Statistic!K13),Raw_VN30_Statistic!K13,IF(B13=0,0,F13/B13*100))</f>
        <v>-1.74</v>
      </c>
      <c r="H13">
        <f>Raw_VN30_Statistic!P13</f>
        <v>5053900</v>
      </c>
      <c r="I13">
        <f>IF(Raw_VN30_Statistic!Q13="",0,Raw_VN30_Statistic!Q13/1000)</f>
        <v>402.55</v>
      </c>
      <c r="J13">
        <f>IFERROR(
  _xlfn.XLOOKUP(A13,Raw_VN30_Influence!$B$2:$B$30,Raw_VN30_Influence!$G$2:$G$30)
  /SUM(Raw_VN30_Influence!$G$2:$G$31),"")</f>
        <v>5.1792673304752977E-2</v>
      </c>
      <c r="K13">
        <f>IF(COUNTIF(Settings!$A:$A,A13)&gt;0,1,0)</f>
        <v>0</v>
      </c>
      <c r="L13">
        <f t="shared" si="7"/>
        <v>1</v>
      </c>
      <c r="M13" s="9">
        <f t="shared" si="0"/>
        <v>0</v>
      </c>
      <c r="N13">
        <f t="shared" si="1"/>
        <v>0</v>
      </c>
      <c r="O13">
        <f t="shared" si="2"/>
        <v>1</v>
      </c>
      <c r="P13">
        <f t="shared" si="3"/>
        <v>0</v>
      </c>
      <c r="Q13">
        <f t="shared" si="4"/>
        <v>1</v>
      </c>
      <c r="R13">
        <f t="shared" si="5"/>
        <v>0</v>
      </c>
      <c r="S13">
        <f t="shared" si="6"/>
        <v>1</v>
      </c>
      <c r="T13" s="8">
        <f>(IF(J13&lt;&gt;"",J13,IF(Raw_VN30_Statistic!R13="",0,Raw_VN30_Statistic!R13/SUM(Raw_VN30_Statistic!$R$2:$R$31))))*G13</f>
        <v>-9.0119251550270174E-2</v>
      </c>
      <c r="U13" s="8">
        <f>(IF(J13&lt;&gt;"",J13,IF(Raw_VN30_Statistic!R13="",0,Raw_VN30_Statistic!R13/SUM(Raw_VN30_Statistic!$R$2:$R$31))))*M13</f>
        <v>0</v>
      </c>
      <c r="V13">
        <f>IFERROR(_xlfn.XLOOKUP(A13,[1]Raw_VN30_Influence!$B$2:$B$31,[1]Raw_VN30_Influence!$I$2:$I$31),"")</f>
        <v>-0.80369999999999997</v>
      </c>
      <c r="W13">
        <f>IFERROR(_xlfn.XLOOKUP(A13,[1]Raw_VN30_Influence!$B$2:$B$31,[1]Raw_VN30_Influence!$H$2:$H$31),"")</f>
        <v>-3.9199999999999999E-2</v>
      </c>
      <c r="X13">
        <f>IFERROR(_xlfn.XLOOKUP(A13,[1]Raw_VN30_Influence!$B$2:$B$31,[1]Raw_VN30_Influence!$G$2:$G$31),"")</f>
        <v>5.2954999999999997</v>
      </c>
    </row>
    <row r="14" spans="1:24" x14ac:dyDescent="0.45">
      <c r="A14" t="str">
        <f>Raw_VN30_Statistic!C14</f>
        <v>MWG</v>
      </c>
      <c r="B14">
        <f>Raw_VN30_Statistic!D14</f>
        <v>93.6</v>
      </c>
      <c r="C14">
        <f>Raw_VN30_Statistic!F14</f>
        <v>93.1</v>
      </c>
      <c r="D14">
        <f>Raw_VN30_Statistic!G14</f>
        <v>93.9</v>
      </c>
      <c r="E14">
        <f>Raw_VN30_Statistic!H14</f>
        <v>92.6</v>
      </c>
      <c r="F14">
        <f>IF(ISNUMBER(Raw_VN30_Statistic!J14),Raw_VN30_Statistic!J14,(C14-B14))</f>
        <v>-500</v>
      </c>
      <c r="G14">
        <f>IF(ISNUMBER(Raw_VN30_Statistic!K14),Raw_VN30_Statistic!K14,IF(B14=0,0,F14/B14*100))</f>
        <v>-0.53</v>
      </c>
      <c r="H14">
        <f>Raw_VN30_Statistic!P14</f>
        <v>5635600</v>
      </c>
      <c r="I14">
        <f>IF(Raw_VN30_Statistic!Q14="",0,Raw_VN30_Statistic!Q14/1000)</f>
        <v>524.88499999999999</v>
      </c>
      <c r="J14">
        <f>IFERROR(
  _xlfn.XLOOKUP(A14,Raw_VN30_Influence!$B$2:$B$30,Raw_VN30_Influence!$G$2:$G$30)
  /SUM(Raw_VN30_Influence!$G$2:$G$31),"")</f>
        <v>7.7485007305094986E-2</v>
      </c>
      <c r="K14">
        <f>IF(COUNTIF(Settings!$A:$A,A14)&gt;0,1,0)</f>
        <v>0</v>
      </c>
      <c r="L14">
        <f t="shared" si="7"/>
        <v>1</v>
      </c>
      <c r="M14" s="9">
        <f t="shared" si="0"/>
        <v>0.38461538461538125</v>
      </c>
      <c r="N14">
        <f t="shared" si="1"/>
        <v>0</v>
      </c>
      <c r="O14">
        <f t="shared" si="2"/>
        <v>0</v>
      </c>
      <c r="P14">
        <f t="shared" si="3"/>
        <v>0</v>
      </c>
      <c r="Q14">
        <f t="shared" si="4"/>
        <v>1</v>
      </c>
      <c r="R14">
        <f t="shared" si="5"/>
        <v>0</v>
      </c>
      <c r="S14">
        <f t="shared" si="6"/>
        <v>0</v>
      </c>
      <c r="T14" s="8">
        <f>(IF(J14&lt;&gt;"",J14,IF(Raw_VN30_Statistic!R14="",0,Raw_VN30_Statistic!R14/SUM(Raw_VN30_Statistic!$R$2:$R$31))))*G14</f>
        <v>-4.1067053871700343E-2</v>
      </c>
      <c r="U14" s="8">
        <f>(IF(J14&lt;&gt;"",J14,IF(Raw_VN30_Statistic!R14="",0,Raw_VN30_Statistic!R14/SUM(Raw_VN30_Statistic!$R$2:$R$31))))*M14</f>
        <v>2.9801925886574734E-2</v>
      </c>
      <c r="V14">
        <f>IFERROR(_xlfn.XLOOKUP(A14,[1]Raw_VN30_Influence!$B$2:$B$31,[1]Raw_VN30_Influence!$I$2:$I$31),"")</f>
        <v>1.3892</v>
      </c>
      <c r="W14">
        <f>IFERROR(_xlfn.XLOOKUP(A14,[1]Raw_VN30_Influence!$B$2:$B$31,[1]Raw_VN30_Influence!$H$2:$H$31),"")</f>
        <v>6.7699999999999996E-2</v>
      </c>
      <c r="X14">
        <f>IFERROR(_xlfn.XLOOKUP(A14,[1]Raw_VN30_Influence!$B$2:$B$31,[1]Raw_VN30_Influence!$G$2:$G$31),"")</f>
        <v>7.7858000000000001</v>
      </c>
    </row>
    <row r="15" spans="1:24" x14ac:dyDescent="0.45">
      <c r="A15" t="str">
        <f>Raw_VN30_Statistic!C15</f>
        <v>PLX</v>
      </c>
      <c r="B15">
        <f>Raw_VN30_Statistic!D15</f>
        <v>57.5</v>
      </c>
      <c r="C15">
        <f>Raw_VN30_Statistic!F15</f>
        <v>57.8</v>
      </c>
      <c r="D15">
        <f>Raw_VN30_Statistic!G15</f>
        <v>61.2</v>
      </c>
      <c r="E15">
        <f>Raw_VN30_Statistic!H15</f>
        <v>57.5</v>
      </c>
      <c r="F15">
        <f>IF(ISNUMBER(Raw_VN30_Statistic!J15),Raw_VN30_Statistic!J15,(C15-B15))</f>
        <v>300</v>
      </c>
      <c r="G15">
        <f>IF(ISNUMBER(Raw_VN30_Statistic!K15),Raw_VN30_Statistic!K15,IF(B15=0,0,F15/B15*100))</f>
        <v>0.52</v>
      </c>
      <c r="H15">
        <f>Raw_VN30_Statistic!P15</f>
        <v>6852500</v>
      </c>
      <c r="I15">
        <f>IF(Raw_VN30_Statistic!Q15="",0,Raw_VN30_Statistic!Q15/1000)</f>
        <v>403.952</v>
      </c>
      <c r="J15">
        <f>IFERROR(
  _xlfn.XLOOKUP(A15,Raw_VN30_Influence!$B$2:$B$30,Raw_VN30_Influence!$G$2:$G$30)
  /SUM(Raw_VN30_Influence!$G$2:$G$31),"")</f>
        <v>5.5490721379377944E-3</v>
      </c>
      <c r="K15">
        <f>IF(COUNTIF(Settings!$A:$A,A15)&gt;0,1,0)</f>
        <v>0</v>
      </c>
      <c r="L15">
        <f t="shared" si="7"/>
        <v>0</v>
      </c>
      <c r="M15" s="9">
        <f t="shared" si="0"/>
        <v>8.1081081081080253E-2</v>
      </c>
      <c r="N15">
        <f t="shared" si="1"/>
        <v>0</v>
      </c>
      <c r="O15">
        <f t="shared" si="2"/>
        <v>1</v>
      </c>
      <c r="P15">
        <f t="shared" si="3"/>
        <v>1</v>
      </c>
      <c r="Q15">
        <f t="shared" si="4"/>
        <v>0</v>
      </c>
      <c r="R15">
        <f t="shared" si="5"/>
        <v>0</v>
      </c>
      <c r="S15">
        <f t="shared" si="6"/>
        <v>0</v>
      </c>
      <c r="T15" s="8">
        <f>(IF(J15&lt;&gt;"",J15,IF(Raw_VN30_Statistic!R15="",0,Raw_VN30_Statistic!R15/SUM(Raw_VN30_Statistic!$R$2:$R$31))))*G15</f>
        <v>2.8855175117276531E-3</v>
      </c>
      <c r="U15" s="8">
        <f>(IF(J15&lt;&gt;"",J15,IF(Raw_VN30_Statistic!R15="",0,Raw_VN30_Statistic!R15/SUM(Raw_VN30_Statistic!$R$2:$R$31))))*M15</f>
        <v>4.4992476794089765E-4</v>
      </c>
      <c r="V15">
        <f>IFERROR(_xlfn.XLOOKUP(A15,[1]Raw_VN30_Influence!$B$2:$B$31,[1]Raw_VN30_Influence!$I$2:$I$31),"")</f>
        <v>5.9700000000000003E-2</v>
      </c>
      <c r="W15">
        <f>IFERROR(_xlfn.XLOOKUP(A15,[1]Raw_VN30_Influence!$B$2:$B$31,[1]Raw_VN30_Influence!$H$2:$H$31),"")</f>
        <v>2.8999999999999998E-3</v>
      </c>
      <c r="X15">
        <f>IFERROR(_xlfn.XLOOKUP(A15,[1]Raw_VN30_Influence!$B$2:$B$31,[1]Raw_VN30_Influence!$G$2:$G$31),"")</f>
        <v>0.56010000000000004</v>
      </c>
    </row>
    <row r="16" spans="1:24" x14ac:dyDescent="0.45">
      <c r="A16" t="str">
        <f>Raw_VN30_Statistic!C16</f>
        <v>SAB</v>
      </c>
      <c r="B16">
        <f>Raw_VN30_Statistic!D16</f>
        <v>49.1</v>
      </c>
      <c r="C16">
        <f>Raw_VN30_Statistic!F16</f>
        <v>48.4</v>
      </c>
      <c r="D16">
        <f>Raw_VN30_Statistic!G16</f>
        <v>49.2</v>
      </c>
      <c r="E16">
        <f>Raw_VN30_Statistic!H16</f>
        <v>48.35</v>
      </c>
      <c r="F16">
        <f>IF(ISNUMBER(Raw_VN30_Statistic!J16),Raw_VN30_Statistic!J16,(C16-B16))</f>
        <v>-700</v>
      </c>
      <c r="G16">
        <f>IF(ISNUMBER(Raw_VN30_Statistic!K16),Raw_VN30_Statistic!K16,IF(B16=0,0,F16/B16*100))</f>
        <v>-1.43</v>
      </c>
      <c r="H16">
        <f>Raw_VN30_Statistic!P16</f>
        <v>1322000</v>
      </c>
      <c r="I16">
        <f>IF(Raw_VN30_Statistic!Q16="",0,Raw_VN30_Statistic!Q16/1000)</f>
        <v>64.337000000000003</v>
      </c>
      <c r="J16">
        <f>IFERROR(
  _xlfn.XLOOKUP(A16,Raw_VN30_Influence!$B$2:$B$30,Raw_VN30_Influence!$G$2:$G$30)
  /SUM(Raw_VN30_Influence!$G$2:$G$31),"")</f>
        <v>5.1600670808720529E-3</v>
      </c>
      <c r="K16">
        <f>IF(COUNTIF(Settings!$A:$A,A16)&gt;0,1,0)</f>
        <v>0</v>
      </c>
      <c r="L16">
        <f t="shared" si="7"/>
        <v>0</v>
      </c>
      <c r="M16" s="9">
        <f t="shared" si="0"/>
        <v>5.8823529411761263E-2</v>
      </c>
      <c r="N16">
        <f t="shared" si="1"/>
        <v>0</v>
      </c>
      <c r="O16">
        <f t="shared" si="2"/>
        <v>1</v>
      </c>
      <c r="P16">
        <f t="shared" si="3"/>
        <v>0</v>
      </c>
      <c r="Q16">
        <f t="shared" si="4"/>
        <v>1</v>
      </c>
      <c r="R16">
        <f t="shared" si="5"/>
        <v>0</v>
      </c>
      <c r="S16">
        <f t="shared" si="6"/>
        <v>1</v>
      </c>
      <c r="T16" s="8">
        <f>(IF(J16&lt;&gt;"",J16,IF(Raw_VN30_Statistic!R16="",0,Raw_VN30_Statistic!R16/SUM(Raw_VN30_Statistic!$R$2:$R$31))))*G16</f>
        <v>-7.3788959256470355E-3</v>
      </c>
      <c r="U16" s="8">
        <f>(IF(J16&lt;&gt;"",J16,IF(Raw_VN30_Statistic!R16="",0,Raw_VN30_Statistic!R16/SUM(Raw_VN30_Statistic!$R$2:$R$31))))*M16</f>
        <v>3.0353335769833827E-4</v>
      </c>
      <c r="V16">
        <f>IFERROR(_xlfn.XLOOKUP(A16,[1]Raw_VN30_Influence!$B$2:$B$31,[1]Raw_VN30_Influence!$I$2:$I$31),"")</f>
        <v>8.8700000000000001E-2</v>
      </c>
      <c r="W16">
        <f>IFERROR(_xlfn.XLOOKUP(A16,[1]Raw_VN30_Influence!$B$2:$B$31,[1]Raw_VN30_Influence!$H$2:$H$31),"")</f>
        <v>4.3E-3</v>
      </c>
      <c r="X16">
        <f>IFERROR(_xlfn.XLOOKUP(A16,[1]Raw_VN30_Influence!$B$2:$B$31,[1]Raw_VN30_Influence!$G$2:$G$31),"")</f>
        <v>0.52759999999999996</v>
      </c>
    </row>
    <row r="17" spans="1:24" x14ac:dyDescent="0.45">
      <c r="A17" t="str">
        <f>Raw_VN30_Statistic!C17</f>
        <v>SHB</v>
      </c>
      <c r="B17">
        <f>Raw_VN30_Statistic!D17</f>
        <v>16.149999999999999</v>
      </c>
      <c r="C17">
        <f>Raw_VN30_Statistic!F17</f>
        <v>15.95</v>
      </c>
      <c r="D17">
        <f>Raw_VN30_Statistic!G17</f>
        <v>16.149999999999999</v>
      </c>
      <c r="E17">
        <f>Raw_VN30_Statistic!H17</f>
        <v>15.85</v>
      </c>
      <c r="F17">
        <f>IF(ISNUMBER(Raw_VN30_Statistic!J17),Raw_VN30_Statistic!J17,(C17-B17))</f>
        <v>-200</v>
      </c>
      <c r="G17">
        <f>IF(ISNUMBER(Raw_VN30_Statistic!K17),Raw_VN30_Statistic!K17,IF(B17=0,0,F17/B17*100))</f>
        <v>-1.24</v>
      </c>
      <c r="H17">
        <f>Raw_VN30_Statistic!P17</f>
        <v>38846900</v>
      </c>
      <c r="I17">
        <f>IF(Raw_VN30_Statistic!Q17="",0,Raw_VN30_Statistic!Q17/1000)</f>
        <v>619.12699999999995</v>
      </c>
      <c r="J17">
        <f>IFERROR(
  _xlfn.XLOOKUP(A17,Raw_VN30_Influence!$B$2:$B$30,Raw_VN30_Influence!$G$2:$G$30)
  /SUM(Raw_VN30_Influence!$G$2:$G$31),"")</f>
        <v>1.8795244338176403E-2</v>
      </c>
      <c r="K17">
        <f>IF(COUNTIF(Settings!$A:$A,A17)&gt;0,1,0)</f>
        <v>1</v>
      </c>
      <c r="L17">
        <f t="shared" si="7"/>
        <v>0</v>
      </c>
      <c r="M17" s="9">
        <f t="shared" si="0"/>
        <v>0.33333333333333331</v>
      </c>
      <c r="N17">
        <f t="shared" si="1"/>
        <v>0</v>
      </c>
      <c r="O17">
        <f t="shared" si="2"/>
        <v>0</v>
      </c>
      <c r="P17">
        <f t="shared" si="3"/>
        <v>0</v>
      </c>
      <c r="Q17">
        <f t="shared" si="4"/>
        <v>1</v>
      </c>
      <c r="R17">
        <f t="shared" si="5"/>
        <v>0</v>
      </c>
      <c r="S17">
        <f t="shared" si="6"/>
        <v>1</v>
      </c>
      <c r="T17" s="8">
        <f>(IF(J17&lt;&gt;"",J17,IF(Raw_VN30_Statistic!R17="",0,Raw_VN30_Statistic!R17/SUM(Raw_VN30_Statistic!$R$2:$R$31))))*G17</f>
        <v>-2.3306102979338741E-2</v>
      </c>
      <c r="U17" s="8">
        <f>(IF(J17&lt;&gt;"",J17,IF(Raw_VN30_Statistic!R17="",0,Raw_VN30_Statistic!R17/SUM(Raw_VN30_Statistic!$R$2:$R$31))))*M17</f>
        <v>6.2650814460588006E-3</v>
      </c>
      <c r="V17">
        <f>IFERROR(_xlfn.XLOOKUP(A17,[1]Raw_VN30_Influence!$B$2:$B$31,[1]Raw_VN30_Influence!$I$2:$I$31),"")</f>
        <v>1.6460999999999999</v>
      </c>
      <c r="W17">
        <f>IFERROR(_xlfn.XLOOKUP(A17,[1]Raw_VN30_Influence!$B$2:$B$31,[1]Raw_VN30_Influence!$H$2:$H$31),"")</f>
        <v>8.0299999999999996E-2</v>
      </c>
      <c r="X17">
        <f>IFERROR(_xlfn.XLOOKUP(A17,[1]Raw_VN30_Influence!$B$2:$B$31,[1]Raw_VN30_Influence!$G$2:$G$31),"")</f>
        <v>1.9201999999999999</v>
      </c>
    </row>
    <row r="18" spans="1:24" x14ac:dyDescent="0.45">
      <c r="A18" t="str">
        <f>Raw_VN30_Statistic!C18</f>
        <v>SSB</v>
      </c>
      <c r="B18">
        <f>Raw_VN30_Statistic!D18</f>
        <v>17</v>
      </c>
      <c r="C18">
        <f>Raw_VN30_Statistic!F18</f>
        <v>16.899999999999999</v>
      </c>
      <c r="D18">
        <f>Raw_VN30_Statistic!G18</f>
        <v>17</v>
      </c>
      <c r="E18">
        <f>Raw_VN30_Statistic!H18</f>
        <v>16.75</v>
      </c>
      <c r="F18">
        <f>IF(ISNUMBER(Raw_VN30_Statistic!J18),Raw_VN30_Statistic!J18,(C18-B18))</f>
        <v>-100</v>
      </c>
      <c r="G18">
        <f>IF(ISNUMBER(Raw_VN30_Statistic!K18),Raw_VN30_Statistic!K18,IF(B18=0,0,F18/B18*100))</f>
        <v>-0.59</v>
      </c>
      <c r="H18">
        <f>Raw_VN30_Statistic!P18</f>
        <v>1992800</v>
      </c>
      <c r="I18">
        <f>IF(Raw_VN30_Statistic!Q18="",0,Raw_VN30_Statistic!Q18/1000)</f>
        <v>33.590000000000003</v>
      </c>
      <c r="J18">
        <f>IFERROR(
  _xlfn.XLOOKUP(A18,Raw_VN30_Influence!$B$2:$B$30,Raw_VN30_Influence!$G$2:$G$30)
  /SUM(Raw_VN30_Influence!$G$2:$G$31),"")</f>
        <v>8.2221068873895384E-3</v>
      </c>
      <c r="K18">
        <f>IF(COUNTIF(Settings!$A:$A,A18)&gt;0,1,0)</f>
        <v>1</v>
      </c>
      <c r="L18">
        <f t="shared" si="7"/>
        <v>0</v>
      </c>
      <c r="M18" s="9">
        <f t="shared" si="0"/>
        <v>0.59999999999999432</v>
      </c>
      <c r="N18">
        <f t="shared" si="1"/>
        <v>0</v>
      </c>
      <c r="O18">
        <f t="shared" si="2"/>
        <v>0</v>
      </c>
      <c r="P18">
        <f t="shared" si="3"/>
        <v>0</v>
      </c>
      <c r="Q18">
        <f t="shared" si="4"/>
        <v>1</v>
      </c>
      <c r="R18">
        <f t="shared" si="5"/>
        <v>0</v>
      </c>
      <c r="S18">
        <f t="shared" si="6"/>
        <v>0</v>
      </c>
      <c r="T18" s="8">
        <f>(IF(J18&lt;&gt;"",J18,IF(Raw_VN30_Statistic!R18="",0,Raw_VN30_Statistic!R18/SUM(Raw_VN30_Statistic!$R$2:$R$31))))*G18</f>
        <v>-4.8510430635598277E-3</v>
      </c>
      <c r="U18" s="8">
        <f>(IF(J18&lt;&gt;"",J18,IF(Raw_VN30_Statistic!R18="",0,Raw_VN30_Statistic!R18/SUM(Raw_VN30_Statistic!$R$2:$R$31))))*M18</f>
        <v>4.9332641324336766E-3</v>
      </c>
      <c r="V18">
        <f>IFERROR(_xlfn.XLOOKUP(A18,[1]Raw_VN30_Influence!$B$2:$B$31,[1]Raw_VN30_Influence!$I$2:$I$31),"")</f>
        <v>-4.9299999999999997E-2</v>
      </c>
      <c r="W18">
        <f>IFERROR(_xlfn.XLOOKUP(A18,[1]Raw_VN30_Influence!$B$2:$B$31,[1]Raw_VN30_Influence!$H$2:$H$31),"")</f>
        <v>-2.3999999999999998E-3</v>
      </c>
      <c r="X18">
        <f>IFERROR(_xlfn.XLOOKUP(A18,[1]Raw_VN30_Influence!$B$2:$B$31,[1]Raw_VN30_Influence!$G$2:$G$31),"")</f>
        <v>0.82950000000000002</v>
      </c>
    </row>
    <row r="19" spans="1:24" x14ac:dyDescent="0.45">
      <c r="A19" t="str">
        <f>Raw_VN30_Statistic!C19</f>
        <v>SSI</v>
      </c>
      <c r="B19">
        <f>Raw_VN30_Statistic!D19</f>
        <v>32.4</v>
      </c>
      <c r="C19">
        <f>Raw_VN30_Statistic!F19</f>
        <v>32.4</v>
      </c>
      <c r="D19">
        <f>Raw_VN30_Statistic!G19</f>
        <v>32.950000000000003</v>
      </c>
      <c r="E19">
        <f>Raw_VN30_Statistic!H19</f>
        <v>32.1</v>
      </c>
      <c r="F19">
        <f>IF(ISNUMBER(Raw_VN30_Statistic!J19),Raw_VN30_Statistic!J19,(C19-B19))</f>
        <v>0</v>
      </c>
      <c r="G19">
        <f>IF(ISNUMBER(Raw_VN30_Statistic!K19),Raw_VN30_Statistic!K19,IF(B19=0,0,F19/B19*100))</f>
        <v>0</v>
      </c>
      <c r="H19">
        <f>Raw_VN30_Statistic!P19</f>
        <v>37359280</v>
      </c>
      <c r="I19">
        <f>IF(Raw_VN30_Statistic!Q19="",0,Raw_VN30_Statistic!Q19/1000)</f>
        <v>1217.136</v>
      </c>
      <c r="J19">
        <f>IFERROR(
  _xlfn.XLOOKUP(A19,Raw_VN30_Influence!$B$2:$B$30,Raw_VN30_Influence!$G$2:$G$30)
  /SUM(Raw_VN30_Influence!$G$2:$G$31),"")</f>
        <v>1.9323251202265634E-2</v>
      </c>
      <c r="K19">
        <f>IF(COUNTIF(Settings!$A:$A,A19)&gt;0,1,0)</f>
        <v>0</v>
      </c>
      <c r="L19">
        <f t="shared" si="7"/>
        <v>0</v>
      </c>
      <c r="M19" s="9">
        <f t="shared" si="0"/>
        <v>0.35294117647058432</v>
      </c>
      <c r="N19">
        <f t="shared" si="1"/>
        <v>0</v>
      </c>
      <c r="O19">
        <f t="shared" si="2"/>
        <v>0</v>
      </c>
      <c r="P19">
        <f t="shared" si="3"/>
        <v>0</v>
      </c>
      <c r="Q19">
        <f t="shared" si="4"/>
        <v>0</v>
      </c>
      <c r="R19">
        <f t="shared" si="5"/>
        <v>0</v>
      </c>
      <c r="S19">
        <f t="shared" si="6"/>
        <v>0</v>
      </c>
      <c r="T19" s="8">
        <f>(IF(J19&lt;&gt;"",J19,IF(Raw_VN30_Statistic!R19="",0,Raw_VN30_Statistic!R19/SUM(Raw_VN30_Statistic!$R$2:$R$31))))*G19</f>
        <v>0</v>
      </c>
      <c r="U19" s="8">
        <f>(IF(J19&lt;&gt;"",J19,IF(Raw_VN30_Statistic!R19="",0,Raw_VN30_Statistic!R19/SUM(Raw_VN30_Statistic!$R$2:$R$31))))*M19</f>
        <v>6.8199710125642658E-3</v>
      </c>
      <c r="V19">
        <f>IFERROR(_xlfn.XLOOKUP(A19,[1]Raw_VN30_Influence!$B$2:$B$31,[1]Raw_VN30_Influence!$I$2:$I$31),"")</f>
        <v>6.3299999999999995E-2</v>
      </c>
      <c r="W19">
        <f>IFERROR(_xlfn.XLOOKUP(A19,[1]Raw_VN30_Influence!$B$2:$B$31,[1]Raw_VN30_Influence!$H$2:$H$31),"")</f>
        <v>3.0999999999999999E-3</v>
      </c>
      <c r="X19">
        <f>IFERROR(_xlfn.XLOOKUP(A19,[1]Raw_VN30_Influence!$B$2:$B$31,[1]Raw_VN30_Influence!$G$2:$G$31),"")</f>
        <v>1.9287000000000001</v>
      </c>
    </row>
    <row r="20" spans="1:24" x14ac:dyDescent="0.45">
      <c r="A20" t="str">
        <f>Raw_VN30_Statistic!C20</f>
        <v>STB</v>
      </c>
      <c r="B20">
        <f>Raw_VN30_Statistic!D20</f>
        <v>67</v>
      </c>
      <c r="C20">
        <f>Raw_VN30_Statistic!F20</f>
        <v>65.5</v>
      </c>
      <c r="D20">
        <f>Raw_VN30_Statistic!G20</f>
        <v>67.2</v>
      </c>
      <c r="E20">
        <f>Raw_VN30_Statistic!H20</f>
        <v>65.5</v>
      </c>
      <c r="F20">
        <f>IF(ISNUMBER(Raw_VN30_Statistic!J20),Raw_VN30_Statistic!J20,(C20-B20))</f>
        <v>-1500</v>
      </c>
      <c r="G20">
        <f>IF(ISNUMBER(Raw_VN30_Statistic!K20),Raw_VN30_Statistic!K20,IF(B20=0,0,F20/B20*100))</f>
        <v>-2.2400000000000002</v>
      </c>
      <c r="H20">
        <f>Raw_VN30_Statistic!P20</f>
        <v>7079500</v>
      </c>
      <c r="I20">
        <f>IF(Raw_VN30_Statistic!Q20="",0,Raw_VN30_Statistic!Q20/1000)</f>
        <v>468.18</v>
      </c>
      <c r="J20">
        <f>IFERROR(
  _xlfn.XLOOKUP(A20,Raw_VN30_Influence!$B$2:$B$30,Raw_VN30_Influence!$G$2:$G$30)
  /SUM(Raw_VN30_Influence!$G$2:$G$31),"")</f>
        <v>4.0122521592780715E-2</v>
      </c>
      <c r="K20">
        <f>IF(COUNTIF(Settings!$A:$A,A20)&gt;0,1,0)</f>
        <v>1</v>
      </c>
      <c r="L20">
        <f t="shared" si="7"/>
        <v>0</v>
      </c>
      <c r="M20" s="9">
        <f t="shared" si="0"/>
        <v>0</v>
      </c>
      <c r="N20">
        <f t="shared" si="1"/>
        <v>0</v>
      </c>
      <c r="O20">
        <f t="shared" si="2"/>
        <v>1</v>
      </c>
      <c r="P20">
        <f t="shared" si="3"/>
        <v>0</v>
      </c>
      <c r="Q20">
        <f t="shared" si="4"/>
        <v>1</v>
      </c>
      <c r="R20">
        <f t="shared" si="5"/>
        <v>0</v>
      </c>
      <c r="S20">
        <f t="shared" si="6"/>
        <v>1</v>
      </c>
      <c r="T20" s="8">
        <f>(IF(J20&lt;&gt;"",J20,IF(Raw_VN30_Statistic!R20="",0,Raw_VN30_Statistic!R20/SUM(Raw_VN30_Statistic!$R$2:$R$31))))*G20</f>
        <v>-8.9874448367828805E-2</v>
      </c>
      <c r="U20" s="8">
        <f>(IF(J20&lt;&gt;"",J20,IF(Raw_VN30_Statistic!R20="",0,Raw_VN30_Statistic!R20/SUM(Raw_VN30_Statistic!$R$2:$R$31))))*M20</f>
        <v>0</v>
      </c>
      <c r="V20">
        <f>IFERROR(_xlfn.XLOOKUP(A20,[1]Raw_VN30_Influence!$B$2:$B$31,[1]Raw_VN30_Influence!$I$2:$I$31),"")</f>
        <v>4.3913000000000002</v>
      </c>
      <c r="W20">
        <f>IFERROR(_xlfn.XLOOKUP(A20,[1]Raw_VN30_Influence!$B$2:$B$31,[1]Raw_VN30_Influence!$H$2:$H$31),"")</f>
        <v>0.21410000000000001</v>
      </c>
      <c r="X20">
        <f>IFERROR(_xlfn.XLOOKUP(A20,[1]Raw_VN30_Influence!$B$2:$B$31,[1]Raw_VN30_Influence!$G$2:$G$31),"")</f>
        <v>4.1097999999999999</v>
      </c>
    </row>
    <row r="21" spans="1:24" x14ac:dyDescent="0.45">
      <c r="A21" t="str">
        <f>Raw_VN30_Statistic!C21</f>
        <v>TCB</v>
      </c>
      <c r="B21">
        <f>Raw_VN30_Statistic!D21</f>
        <v>36.450000000000003</v>
      </c>
      <c r="C21">
        <f>Raw_VN30_Statistic!F21</f>
        <v>36.25</v>
      </c>
      <c r="D21">
        <f>Raw_VN30_Statistic!G21</f>
        <v>36.4</v>
      </c>
      <c r="E21">
        <f>Raw_VN30_Statistic!H21</f>
        <v>35.85</v>
      </c>
      <c r="F21">
        <f>IF(ISNUMBER(Raw_VN30_Statistic!J21),Raw_VN30_Statistic!J21,(C21-B21))</f>
        <v>-200</v>
      </c>
      <c r="G21">
        <f>IF(ISNUMBER(Raw_VN30_Statistic!K21),Raw_VN30_Statistic!K21,IF(B21=0,0,F21/B21*100))</f>
        <v>-0.55000000000000004</v>
      </c>
      <c r="H21">
        <f>Raw_VN30_Statistic!P21</f>
        <v>21298200</v>
      </c>
      <c r="I21">
        <f>IF(Raw_VN30_Statistic!Q21="",0,Raw_VN30_Statistic!Q21/1000)</f>
        <v>776.81200000000001</v>
      </c>
      <c r="J21">
        <f>IFERROR(
  _xlfn.XLOOKUP(A21,Raw_VN30_Influence!$B$2:$B$30,Raw_VN30_Influence!$G$2:$G$30)
  /SUM(Raw_VN30_Influence!$G$2:$G$31),"")</f>
        <v>4.8321628181166365E-2</v>
      </c>
      <c r="K21">
        <f>IF(COUNTIF(Settings!$A:$A,A21)&gt;0,1,0)</f>
        <v>1</v>
      </c>
      <c r="L21">
        <f t="shared" si="7"/>
        <v>1</v>
      </c>
      <c r="M21" s="9">
        <f t="shared" si="0"/>
        <v>0.7272727272727284</v>
      </c>
      <c r="N21">
        <f t="shared" si="1"/>
        <v>0</v>
      </c>
      <c r="O21">
        <f t="shared" si="2"/>
        <v>0</v>
      </c>
      <c r="P21">
        <f t="shared" si="3"/>
        <v>0</v>
      </c>
      <c r="Q21">
        <f t="shared" si="4"/>
        <v>1</v>
      </c>
      <c r="R21">
        <f t="shared" si="5"/>
        <v>0</v>
      </c>
      <c r="S21">
        <f t="shared" si="6"/>
        <v>0</v>
      </c>
      <c r="T21" s="8">
        <f>(IF(J21&lt;&gt;"",J21,IF(Raw_VN30_Statistic!R21="",0,Raw_VN30_Statistic!R21/SUM(Raw_VN30_Statistic!$R$2:$R$31))))*G21</f>
        <v>-2.6576895499641501E-2</v>
      </c>
      <c r="U21" s="8">
        <f>(IF(J21&lt;&gt;"",J21,IF(Raw_VN30_Statistic!R21="",0,Raw_VN30_Statistic!R21/SUM(Raw_VN30_Statistic!$R$2:$R$31))))*M21</f>
        <v>3.5143002313575596E-2</v>
      </c>
      <c r="V21">
        <f>IFERROR(_xlfn.XLOOKUP(A21,[1]Raw_VN30_Influence!$B$2:$B$31,[1]Raw_VN30_Influence!$I$2:$I$31),"")</f>
        <v>0.5544</v>
      </c>
      <c r="W21">
        <f>IFERROR(_xlfn.XLOOKUP(A21,[1]Raw_VN30_Influence!$B$2:$B$31,[1]Raw_VN30_Influence!$H$2:$H$31),"")</f>
        <v>2.7E-2</v>
      </c>
      <c r="X21">
        <f>IFERROR(_xlfn.XLOOKUP(A21,[1]Raw_VN30_Influence!$B$2:$B$31,[1]Raw_VN30_Influence!$G$2:$G$31),"")</f>
        <v>4.8272000000000004</v>
      </c>
    </row>
    <row r="22" spans="1:24" x14ac:dyDescent="0.45">
      <c r="A22" t="str">
        <f>Raw_VN30_Statistic!C22</f>
        <v>TPB</v>
      </c>
      <c r="B22">
        <f>Raw_VN30_Statistic!D22</f>
        <v>18.350000000000001</v>
      </c>
      <c r="C22">
        <f>Raw_VN30_Statistic!F22</f>
        <v>18.399999999999999</v>
      </c>
      <c r="D22">
        <f>Raw_VN30_Statistic!G22</f>
        <v>18.7</v>
      </c>
      <c r="E22">
        <f>Raw_VN30_Statistic!H22</f>
        <v>18.25</v>
      </c>
      <c r="F22">
        <f>IF(ISNUMBER(Raw_VN30_Statistic!J22),Raw_VN30_Statistic!J22,(C22-B22))</f>
        <v>50</v>
      </c>
      <c r="G22">
        <f>IF(ISNUMBER(Raw_VN30_Statistic!K22),Raw_VN30_Statistic!K22,IF(B22=0,0,F22/B22*100))</f>
        <v>0.27</v>
      </c>
      <c r="H22">
        <f>Raw_VN30_Statistic!P22</f>
        <v>18259800</v>
      </c>
      <c r="I22">
        <f>IF(Raw_VN30_Statistic!Q22="",0,Raw_VN30_Statistic!Q22/1000)</f>
        <v>337.53500000000003</v>
      </c>
      <c r="J22">
        <f>IFERROR(
  _xlfn.XLOOKUP(A22,Raw_VN30_Influence!$B$2:$B$30,Raw_VN30_Influence!$G$2:$G$30)
  /SUM(Raw_VN30_Influence!$G$2:$G$31),"")</f>
        <v>9.6011248146225924E-3</v>
      </c>
      <c r="K22">
        <f>IF(COUNTIF(Settings!$A:$A,A22)&gt;0,1,0)</f>
        <v>1</v>
      </c>
      <c r="L22">
        <f t="shared" si="7"/>
        <v>0</v>
      </c>
      <c r="M22" s="9">
        <f t="shared" si="0"/>
        <v>0.33333333333333071</v>
      </c>
      <c r="N22">
        <f t="shared" si="1"/>
        <v>0</v>
      </c>
      <c r="O22">
        <f t="shared" si="2"/>
        <v>0</v>
      </c>
      <c r="P22">
        <f t="shared" si="3"/>
        <v>1</v>
      </c>
      <c r="Q22">
        <f t="shared" si="4"/>
        <v>0</v>
      </c>
      <c r="R22">
        <f t="shared" si="5"/>
        <v>0</v>
      </c>
      <c r="S22">
        <f t="shared" si="6"/>
        <v>0</v>
      </c>
      <c r="T22" s="8">
        <f>(IF(J22&lt;&gt;"",J22,IF(Raw_VN30_Statistic!R22="",0,Raw_VN30_Statistic!R22/SUM(Raw_VN30_Statistic!$R$2:$R$31))))*G22</f>
        <v>2.5923036999481001E-3</v>
      </c>
      <c r="U22" s="8">
        <f>(IF(J22&lt;&gt;"",J22,IF(Raw_VN30_Statistic!R22="",0,Raw_VN30_Statistic!R22/SUM(Raw_VN30_Statistic!$R$2:$R$31))))*M22</f>
        <v>3.2003749382075054E-3</v>
      </c>
      <c r="V22">
        <f>IFERROR(_xlfn.XLOOKUP(A22,[1]Raw_VN30_Influence!$B$2:$B$31,[1]Raw_VN30_Influence!$I$2:$I$31),"")</f>
        <v>0.66649999999999998</v>
      </c>
      <c r="W22">
        <f>IFERROR(_xlfn.XLOOKUP(A22,[1]Raw_VN30_Influence!$B$2:$B$31,[1]Raw_VN30_Influence!$H$2:$H$31),"")</f>
        <v>3.2500000000000001E-2</v>
      </c>
      <c r="X22">
        <f>IFERROR(_xlfn.XLOOKUP(A22,[1]Raw_VN30_Influence!$B$2:$B$31,[1]Raw_VN30_Influence!$G$2:$G$31),"")</f>
        <v>0.97889999999999999</v>
      </c>
    </row>
    <row r="23" spans="1:24" x14ac:dyDescent="0.45">
      <c r="A23" t="str">
        <f>Raw_VN30_Statistic!C23</f>
        <v>VCB</v>
      </c>
      <c r="B23">
        <f>Raw_VN30_Statistic!D23</f>
        <v>65.400000000000006</v>
      </c>
      <c r="C23">
        <f>Raw_VN30_Statistic!F23</f>
        <v>64.900000000000006</v>
      </c>
      <c r="D23">
        <f>Raw_VN30_Statistic!G23</f>
        <v>66.400000000000006</v>
      </c>
      <c r="E23">
        <f>Raw_VN30_Statistic!H23</f>
        <v>64.8</v>
      </c>
      <c r="F23">
        <f>IF(ISNUMBER(Raw_VN30_Statistic!J23),Raw_VN30_Statistic!J23,(C23-B23))</f>
        <v>-500</v>
      </c>
      <c r="G23">
        <f>IF(ISNUMBER(Raw_VN30_Statistic!K23),Raw_VN30_Statistic!K23,IF(B23=0,0,F23/B23*100))</f>
        <v>-0.76</v>
      </c>
      <c r="H23">
        <f>Raw_VN30_Statistic!P23</f>
        <v>8938200</v>
      </c>
      <c r="I23">
        <f>IF(Raw_VN30_Statistic!Q23="",0,Raw_VN30_Statistic!Q23/1000)</f>
        <v>582.22199999999998</v>
      </c>
      <c r="J23">
        <f>IFERROR(
  _xlfn.XLOOKUP(A23,Raw_VN30_Influence!$B$2:$B$30,Raw_VN30_Influence!$G$2:$G$30)
  /SUM(Raw_VN30_Influence!$G$2:$G$31),"")</f>
        <v>2.0402265229447988E-2</v>
      </c>
      <c r="K23">
        <f>IF(COUNTIF(Settings!$A:$A,A23)&gt;0,1,0)</f>
        <v>1</v>
      </c>
      <c r="L23">
        <f t="shared" si="7"/>
        <v>0</v>
      </c>
      <c r="M23" s="9">
        <f t="shared" si="0"/>
        <v>6.2500000000004996E-2</v>
      </c>
      <c r="N23">
        <f t="shared" si="1"/>
        <v>0</v>
      </c>
      <c r="O23">
        <f t="shared" si="2"/>
        <v>1</v>
      </c>
      <c r="P23">
        <f t="shared" si="3"/>
        <v>0</v>
      </c>
      <c r="Q23">
        <f t="shared" si="4"/>
        <v>1</v>
      </c>
      <c r="R23">
        <f t="shared" si="5"/>
        <v>0</v>
      </c>
      <c r="S23">
        <f t="shared" si="6"/>
        <v>0</v>
      </c>
      <c r="T23" s="8">
        <f>(IF(J23&lt;&gt;"",J23,IF(Raw_VN30_Statistic!R23="",0,Raw_VN30_Statistic!R23/SUM(Raw_VN30_Statistic!$R$2:$R$31))))*G23</f>
        <v>-1.550572157438047E-2</v>
      </c>
      <c r="U23" s="8">
        <f>(IF(J23&lt;&gt;"",J23,IF(Raw_VN30_Statistic!R23="",0,Raw_VN30_Statistic!R23/SUM(Raw_VN30_Statistic!$R$2:$R$31))))*M23</f>
        <v>1.2751415768406011E-3</v>
      </c>
      <c r="V23">
        <f>IFERROR(_xlfn.XLOOKUP(A23,[1]Raw_VN30_Influence!$B$2:$B$31,[1]Raw_VN30_Influence!$I$2:$I$31),"")</f>
        <v>6.3299999999999995E-2</v>
      </c>
      <c r="W23">
        <f>IFERROR(_xlfn.XLOOKUP(A23,[1]Raw_VN30_Influence!$B$2:$B$31,[1]Raw_VN30_Influence!$H$2:$H$31),"")</f>
        <v>3.0999999999999999E-3</v>
      </c>
      <c r="X23">
        <f>IFERROR(_xlfn.XLOOKUP(A23,[1]Raw_VN30_Influence!$B$2:$B$31,[1]Raw_VN30_Influence!$G$2:$G$31),"")</f>
        <v>2.0585</v>
      </c>
    </row>
    <row r="24" spans="1:24" x14ac:dyDescent="0.45">
      <c r="A24" t="str">
        <f>Raw_VN30_Statistic!C24</f>
        <v>VHM</v>
      </c>
      <c r="B24">
        <f>Raw_VN30_Statistic!D24</f>
        <v>107.6</v>
      </c>
      <c r="C24">
        <f>Raw_VN30_Statistic!F24</f>
        <v>108</v>
      </c>
      <c r="D24">
        <f>Raw_VN30_Statistic!G24</f>
        <v>109.5</v>
      </c>
      <c r="E24">
        <f>Raw_VN30_Statistic!H24</f>
        <v>104.6</v>
      </c>
      <c r="F24">
        <f>IF(ISNUMBER(Raw_VN30_Statistic!J24),Raw_VN30_Statistic!J24,(C24-B24))</f>
        <v>400</v>
      </c>
      <c r="G24">
        <f>IF(ISNUMBER(Raw_VN30_Statistic!K24),Raw_VN30_Statistic!K24,IF(B24=0,0,F24/B24*100))</f>
        <v>0.37</v>
      </c>
      <c r="H24">
        <f>Raw_VN30_Statistic!P24</f>
        <v>6387500</v>
      </c>
      <c r="I24">
        <f>IF(Raw_VN30_Statistic!Q24="",0,Raw_VN30_Statistic!Q24/1000)</f>
        <v>686.62199999999996</v>
      </c>
      <c r="J24">
        <f>IFERROR(
  _xlfn.XLOOKUP(A24,Raw_VN30_Influence!$B$2:$B$30,Raw_VN30_Influence!$G$2:$G$30)
  /SUM(Raw_VN30_Influence!$G$2:$G$31),"")</f>
        <v>3.7964493538416015E-2</v>
      </c>
      <c r="K24">
        <f>IF(COUNTIF(Settings!$A:$A,A24)&gt;0,1,0)</f>
        <v>0</v>
      </c>
      <c r="L24">
        <f t="shared" si="7"/>
        <v>0</v>
      </c>
      <c r="M24" s="9">
        <f t="shared" si="0"/>
        <v>0.69387755102040849</v>
      </c>
      <c r="N24">
        <f t="shared" si="1"/>
        <v>0</v>
      </c>
      <c r="O24">
        <f t="shared" si="2"/>
        <v>0</v>
      </c>
      <c r="P24">
        <f t="shared" si="3"/>
        <v>1</v>
      </c>
      <c r="Q24">
        <f t="shared" si="4"/>
        <v>0</v>
      </c>
      <c r="R24">
        <f t="shared" si="5"/>
        <v>0</v>
      </c>
      <c r="S24">
        <f t="shared" si="6"/>
        <v>0</v>
      </c>
      <c r="T24" s="8">
        <f>(IF(J24&lt;&gt;"",J24,IF(Raw_VN30_Statistic!R24="",0,Raw_VN30_Statistic!R24/SUM(Raw_VN30_Statistic!$R$2:$R$31))))*G24</f>
        <v>1.4046862609213926E-2</v>
      </c>
      <c r="U24" s="8">
        <f>(IF(J24&lt;&gt;"",J24,IF(Raw_VN30_Statistic!R24="",0,Raw_VN30_Statistic!R24/SUM(Raw_VN30_Statistic!$R$2:$R$31))))*M24</f>
        <v>2.6342709802166228E-2</v>
      </c>
      <c r="V24">
        <f>IFERROR(_xlfn.XLOOKUP(A24,[1]Raw_VN30_Influence!$B$2:$B$31,[1]Raw_VN30_Influence!$I$2:$I$31),"")</f>
        <v>-2.7932999999999999</v>
      </c>
      <c r="W24">
        <f>IFERROR(_xlfn.XLOOKUP(A24,[1]Raw_VN30_Influence!$B$2:$B$31,[1]Raw_VN30_Influence!$H$2:$H$31),"")</f>
        <v>-0.13619999999999999</v>
      </c>
      <c r="X24">
        <f>IFERROR(_xlfn.XLOOKUP(A24,[1]Raw_VN30_Influence!$B$2:$B$31,[1]Raw_VN30_Influence!$G$2:$G$31),"")</f>
        <v>3.7833999999999999</v>
      </c>
    </row>
    <row r="25" spans="1:24" x14ac:dyDescent="0.45">
      <c r="A25" t="str">
        <f>Raw_VN30_Statistic!C25</f>
        <v>VIB</v>
      </c>
      <c r="B25">
        <f>Raw_VN30_Statistic!D25</f>
        <v>17.399999999999999</v>
      </c>
      <c r="C25">
        <f>Raw_VN30_Statistic!F25</f>
        <v>17.3</v>
      </c>
      <c r="D25">
        <f>Raw_VN30_Statistic!G25</f>
        <v>17.45</v>
      </c>
      <c r="E25">
        <f>Raw_VN30_Statistic!H25</f>
        <v>17.3</v>
      </c>
      <c r="F25">
        <f>IF(ISNUMBER(Raw_VN30_Statistic!J25),Raw_VN30_Statistic!J25,(C25-B25))</f>
        <v>-100</v>
      </c>
      <c r="G25">
        <f>IF(ISNUMBER(Raw_VN30_Statistic!K25),Raw_VN30_Statistic!K25,IF(B25=0,0,F25/B25*100))</f>
        <v>-0.56999999999999995</v>
      </c>
      <c r="H25">
        <f>Raw_VN30_Statistic!P25</f>
        <v>2778500</v>
      </c>
      <c r="I25">
        <f>IF(Raw_VN30_Statistic!Q25="",0,Raw_VN30_Statistic!Q25/1000)</f>
        <v>48.203000000000003</v>
      </c>
      <c r="J25">
        <f>IFERROR(
  _xlfn.XLOOKUP(A25,Raw_VN30_Influence!$B$2:$B$30,Raw_VN30_Influence!$G$2:$G$30)
  /SUM(Raw_VN30_Influence!$G$2:$G$31),"")</f>
        <v>1.309217019821258E-2</v>
      </c>
      <c r="K25">
        <f>IF(COUNTIF(Settings!$A:$A,A25)&gt;0,1,0)</f>
        <v>1</v>
      </c>
      <c r="L25">
        <f t="shared" si="7"/>
        <v>0</v>
      </c>
      <c r="M25" s="9">
        <f t="shared" si="0"/>
        <v>0</v>
      </c>
      <c r="N25">
        <f t="shared" si="1"/>
        <v>0</v>
      </c>
      <c r="O25">
        <f t="shared" si="2"/>
        <v>1</v>
      </c>
      <c r="P25">
        <f t="shared" si="3"/>
        <v>0</v>
      </c>
      <c r="Q25">
        <f t="shared" si="4"/>
        <v>1</v>
      </c>
      <c r="R25">
        <f t="shared" si="5"/>
        <v>0</v>
      </c>
      <c r="S25">
        <f t="shared" si="6"/>
        <v>0</v>
      </c>
      <c r="T25" s="8">
        <f>(IF(J25&lt;&gt;"",J25,IF(Raw_VN30_Statistic!R25="",0,Raw_VN30_Statistic!R25/SUM(Raw_VN30_Statistic!$R$2:$R$31))))*G25</f>
        <v>-7.4625370129811699E-3</v>
      </c>
      <c r="U25" s="8">
        <f>(IF(J25&lt;&gt;"",J25,IF(Raw_VN30_Statistic!R25="",0,Raw_VN30_Statistic!R25/SUM(Raw_VN30_Statistic!$R$2:$R$31))))*M25</f>
        <v>0</v>
      </c>
      <c r="V25">
        <f>IFERROR(_xlfn.XLOOKUP(A25,[1]Raw_VN30_Influence!$B$2:$B$31,[1]Raw_VN30_Influence!$I$2:$I$31),"")</f>
        <v>0.1575</v>
      </c>
      <c r="W25">
        <f>IFERROR(_xlfn.XLOOKUP(A25,[1]Raw_VN30_Influence!$B$2:$B$31,[1]Raw_VN30_Influence!$H$2:$H$31),"")</f>
        <v>7.7000000000000002E-3</v>
      </c>
      <c r="X25">
        <f>IFERROR(_xlfn.XLOOKUP(A25,[1]Raw_VN30_Influence!$B$2:$B$31,[1]Raw_VN30_Influence!$G$2:$G$31),"")</f>
        <v>1.3245</v>
      </c>
    </row>
    <row r="26" spans="1:24" x14ac:dyDescent="0.45">
      <c r="A26" t="str">
        <f>Raw_VN30_Statistic!C26</f>
        <v>VIC</v>
      </c>
      <c r="B26">
        <f>Raw_VN30_Statistic!D26</f>
        <v>168.9</v>
      </c>
      <c r="C26">
        <f>Raw_VN30_Statistic!F26</f>
        <v>172</v>
      </c>
      <c r="D26">
        <f>Raw_VN30_Statistic!G26</f>
        <v>178.5</v>
      </c>
      <c r="E26">
        <f>Raw_VN30_Statistic!H26</f>
        <v>168</v>
      </c>
      <c r="F26">
        <f>IF(ISNUMBER(Raw_VN30_Statistic!J26),Raw_VN30_Statistic!J26,(C26-B26))</f>
        <v>3100</v>
      </c>
      <c r="G26">
        <f>IF(ISNUMBER(Raw_VN30_Statistic!K26),Raw_VN30_Statistic!K26,IF(B26=0,0,F26/B26*100))</f>
        <v>1.84</v>
      </c>
      <c r="H26">
        <f>Raw_VN30_Statistic!P26</f>
        <v>4424400</v>
      </c>
      <c r="I26">
        <f>IF(Raw_VN30_Statistic!Q26="",0,Raw_VN30_Statistic!Q26/1000)</f>
        <v>766.54200000000003</v>
      </c>
      <c r="J26">
        <f>IFERROR(
  _xlfn.XLOOKUP(A26,Raw_VN30_Influence!$B$2:$B$30,Raw_VN30_Influence!$G$2:$G$30)
  /SUM(Raw_VN30_Influence!$G$2:$G$31),"")</f>
        <v>0.10741439638715307</v>
      </c>
      <c r="K26">
        <f>IF(COUNTIF(Settings!$A:$A,A26)&gt;0,1,0)</f>
        <v>0</v>
      </c>
      <c r="L26">
        <f t="shared" si="7"/>
        <v>1</v>
      </c>
      <c r="M26" s="9">
        <f t="shared" si="0"/>
        <v>0.38095238095238093</v>
      </c>
      <c r="N26">
        <f t="shared" si="1"/>
        <v>0</v>
      </c>
      <c r="O26">
        <f t="shared" si="2"/>
        <v>0</v>
      </c>
      <c r="P26">
        <f t="shared" si="3"/>
        <v>1</v>
      </c>
      <c r="Q26">
        <f t="shared" si="4"/>
        <v>0</v>
      </c>
      <c r="R26">
        <f t="shared" si="5"/>
        <v>1</v>
      </c>
      <c r="S26">
        <f t="shared" si="6"/>
        <v>0</v>
      </c>
      <c r="T26" s="8">
        <f>(IF(J26&lt;&gt;"",J26,IF(Raw_VN30_Statistic!R26="",0,Raw_VN30_Statistic!R26/SUM(Raw_VN30_Statistic!$R$2:$R$31))))*G26</f>
        <v>0.19764248935236164</v>
      </c>
      <c r="U26" s="8">
        <f>(IF(J26&lt;&gt;"",J26,IF(Raw_VN30_Statistic!R26="",0,Raw_VN30_Statistic!R26/SUM(Raw_VN30_Statistic!$R$2:$R$31))))*M26</f>
        <v>4.0919770052248783E-2</v>
      </c>
      <c r="V26">
        <f>IFERROR(_xlfn.XLOOKUP(A26,[1]Raw_VN30_Influence!$B$2:$B$31,[1]Raw_VN30_Influence!$I$2:$I$31),"")</f>
        <v>-6.1269</v>
      </c>
      <c r="W26">
        <f>IFERROR(_xlfn.XLOOKUP(A26,[1]Raw_VN30_Influence!$B$2:$B$31,[1]Raw_VN30_Influence!$H$2:$H$31),"")</f>
        <v>-0.29880000000000001</v>
      </c>
      <c r="X26">
        <f>IFERROR(_xlfn.XLOOKUP(A26,[1]Raw_VN30_Influence!$B$2:$B$31,[1]Raw_VN30_Influence!$G$2:$G$31),"")</f>
        <v>9.9253</v>
      </c>
    </row>
    <row r="27" spans="1:24" x14ac:dyDescent="0.45">
      <c r="A27" t="str">
        <f>Raw_VN30_Statistic!C27</f>
        <v>VJC</v>
      </c>
      <c r="B27">
        <f>Raw_VN30_Statistic!D27</f>
        <v>178.5</v>
      </c>
      <c r="C27">
        <f>Raw_VN30_Statistic!F27</f>
        <v>175.8</v>
      </c>
      <c r="D27">
        <f>Raw_VN30_Statistic!G27</f>
        <v>178.5</v>
      </c>
      <c r="E27">
        <f>Raw_VN30_Statistic!H27</f>
        <v>175.2</v>
      </c>
      <c r="F27">
        <f>IF(ISNUMBER(Raw_VN30_Statistic!J27),Raw_VN30_Statistic!J27,(C27-B27))</f>
        <v>-2700</v>
      </c>
      <c r="G27">
        <f>IF(ISNUMBER(Raw_VN30_Statistic!K27),Raw_VN30_Statistic!K27,IF(B27=0,0,F27/B27*100))</f>
        <v>-1.51</v>
      </c>
      <c r="H27">
        <f>Raw_VN30_Statistic!P27</f>
        <v>1133900</v>
      </c>
      <c r="I27">
        <f>IF(Raw_VN30_Statistic!Q27="",0,Raw_VN30_Statistic!Q27/1000)</f>
        <v>200.15299999999999</v>
      </c>
      <c r="J27">
        <f>IFERROR(
  _xlfn.XLOOKUP(A27,Raw_VN30_Influence!$B$2:$B$30,Raw_VN30_Influence!$G$2:$G$30)
  /SUM(Raw_VN30_Influence!$G$2:$G$31),"")</f>
        <v>3.5368459789977276E-2</v>
      </c>
      <c r="K27">
        <f>IF(COUNTIF(Settings!$A:$A,A27)&gt;0,1,0)</f>
        <v>0</v>
      </c>
      <c r="L27">
        <f t="shared" si="7"/>
        <v>0</v>
      </c>
      <c r="M27" s="9">
        <f t="shared" si="0"/>
        <v>0.18181818181818807</v>
      </c>
      <c r="N27">
        <f t="shared" si="1"/>
        <v>0</v>
      </c>
      <c r="O27">
        <f t="shared" si="2"/>
        <v>1</v>
      </c>
      <c r="P27">
        <f t="shared" si="3"/>
        <v>0</v>
      </c>
      <c r="Q27">
        <f t="shared" si="4"/>
        <v>1</v>
      </c>
      <c r="R27">
        <f t="shared" si="5"/>
        <v>0</v>
      </c>
      <c r="S27">
        <f t="shared" si="6"/>
        <v>1</v>
      </c>
      <c r="T27" s="8">
        <f>(IF(J27&lt;&gt;"",J27,IF(Raw_VN30_Statistic!R27="",0,Raw_VN30_Statistic!R27/SUM(Raw_VN30_Statistic!$R$2:$R$31))))*G27</f>
        <v>-5.3406374282865689E-2</v>
      </c>
      <c r="U27" s="8">
        <f>(IF(J27&lt;&gt;"",J27,IF(Raw_VN30_Statistic!R27="",0,Raw_VN30_Statistic!R27/SUM(Raw_VN30_Statistic!$R$2:$R$31))))*M27</f>
        <v>6.4306290527233623E-3</v>
      </c>
      <c r="V27">
        <f>IFERROR(_xlfn.XLOOKUP(A27,[1]Raw_VN30_Influence!$B$2:$B$31,[1]Raw_VN30_Influence!$I$2:$I$31),"")</f>
        <v>-3.2151999999999998</v>
      </c>
      <c r="W27">
        <f>IFERROR(_xlfn.XLOOKUP(A27,[1]Raw_VN30_Influence!$B$2:$B$31,[1]Raw_VN30_Influence!$H$2:$H$31),"")</f>
        <v>-0.15679999999999999</v>
      </c>
      <c r="X27">
        <f>IFERROR(_xlfn.XLOOKUP(A27,[1]Raw_VN30_Influence!$B$2:$B$31,[1]Raw_VN30_Influence!$G$2:$G$31),"")</f>
        <v>3.6122999999999998</v>
      </c>
    </row>
    <row r="28" spans="1:24" x14ac:dyDescent="0.45">
      <c r="A28" t="str">
        <f>Raw_VN30_Statistic!C28</f>
        <v>VNM</v>
      </c>
      <c r="B28">
        <f>Raw_VN30_Statistic!D28</f>
        <v>70.599999999999994</v>
      </c>
      <c r="C28">
        <f>Raw_VN30_Statistic!F28</f>
        <v>68.2</v>
      </c>
      <c r="D28">
        <f>Raw_VN30_Statistic!G28</f>
        <v>70.599999999999994</v>
      </c>
      <c r="E28">
        <f>Raw_VN30_Statistic!H28</f>
        <v>68</v>
      </c>
      <c r="F28">
        <f>IF(ISNUMBER(Raw_VN30_Statistic!J28),Raw_VN30_Statistic!J28,(C28-B28))</f>
        <v>-2400</v>
      </c>
      <c r="G28">
        <f>IF(ISNUMBER(Raw_VN30_Statistic!K28),Raw_VN30_Statistic!K28,IF(B28=0,0,F28/B28*100))</f>
        <v>-3.4</v>
      </c>
      <c r="H28">
        <f>Raw_VN30_Statistic!P28</f>
        <v>13391400</v>
      </c>
      <c r="I28">
        <f>IF(Raw_VN30_Statistic!Q28="",0,Raw_VN30_Statistic!Q28/1000)</f>
        <v>922.452</v>
      </c>
      <c r="J28">
        <f>IFERROR(
  _xlfn.XLOOKUP(A28,Raw_VN30_Influence!$B$2:$B$30,Raw_VN30_Influence!$G$2:$G$30)
  /SUM(Raw_VN30_Influence!$G$2:$G$31),"")</f>
        <v>4.3084560099281299E-2</v>
      </c>
      <c r="K28">
        <f>IF(COUNTIF(Settings!$A:$A,A28)&gt;0,1,0)</f>
        <v>0</v>
      </c>
      <c r="L28">
        <f t="shared" si="7"/>
        <v>0</v>
      </c>
      <c r="M28" s="9">
        <f t="shared" si="0"/>
        <v>7.692307692307819E-2</v>
      </c>
      <c r="N28">
        <f t="shared" si="1"/>
        <v>0</v>
      </c>
      <c r="O28">
        <f t="shared" si="2"/>
        <v>1</v>
      </c>
      <c r="P28">
        <f t="shared" si="3"/>
        <v>0</v>
      </c>
      <c r="Q28">
        <f t="shared" si="4"/>
        <v>1</v>
      </c>
      <c r="R28">
        <f t="shared" si="5"/>
        <v>0</v>
      </c>
      <c r="S28">
        <f t="shared" si="6"/>
        <v>1</v>
      </c>
      <c r="T28" s="8">
        <f>(IF(J28&lt;&gt;"",J28,IF(Raw_VN30_Statistic!R28="",0,Raw_VN30_Statistic!R28/SUM(Raw_VN30_Statistic!$R$2:$R$31))))*G28</f>
        <v>-0.14648750433755642</v>
      </c>
      <c r="U28" s="8">
        <f>(IF(J28&lt;&gt;"",J28,IF(Raw_VN30_Statistic!R28="",0,Raw_VN30_Statistic!R28/SUM(Raw_VN30_Statistic!$R$2:$R$31))))*M28</f>
        <v>3.3141969307140008E-3</v>
      </c>
      <c r="V28">
        <f>IFERROR(_xlfn.XLOOKUP(A28,[1]Raw_VN30_Influence!$B$2:$B$31,[1]Raw_VN30_Influence!$I$2:$I$31),"")</f>
        <v>2.8172999999999999</v>
      </c>
      <c r="W28">
        <f>IFERROR(_xlfn.XLOOKUP(A28,[1]Raw_VN30_Influence!$B$2:$B$31,[1]Raw_VN30_Influence!$H$2:$H$31),"")</f>
        <v>0.13739999999999999</v>
      </c>
      <c r="X28">
        <f>IFERROR(_xlfn.XLOOKUP(A28,[1]Raw_VN30_Influence!$B$2:$B$31,[1]Raw_VN30_Influence!$G$2:$G$31),"")</f>
        <v>4.5944000000000003</v>
      </c>
    </row>
    <row r="29" spans="1:24" x14ac:dyDescent="0.45">
      <c r="A29" t="str">
        <f>Raw_VN30_Statistic!C29</f>
        <v>VPB</v>
      </c>
      <c r="B29">
        <f>Raw_VN30_Statistic!D29</f>
        <v>28.9</v>
      </c>
      <c r="C29">
        <f>Raw_VN30_Statistic!F29</f>
        <v>28.95</v>
      </c>
      <c r="D29">
        <f>Raw_VN30_Statistic!G29</f>
        <v>29.45</v>
      </c>
      <c r="E29">
        <f>Raw_VN30_Statistic!H29</f>
        <v>28.75</v>
      </c>
      <c r="F29">
        <f>IF(ISNUMBER(Raw_VN30_Statistic!J29),Raw_VN30_Statistic!J29,(C29-B29))</f>
        <v>50</v>
      </c>
      <c r="G29">
        <f>IF(ISNUMBER(Raw_VN30_Statistic!K29),Raw_VN30_Statistic!K29,IF(B29=0,0,F29/B29*100))</f>
        <v>0.17</v>
      </c>
      <c r="H29">
        <f>Raw_VN30_Statistic!P29</f>
        <v>18002900</v>
      </c>
      <c r="I29">
        <f>IF(Raw_VN30_Statistic!Q29="",0,Raw_VN30_Statistic!Q29/1000)</f>
        <v>523.346</v>
      </c>
      <c r="J29">
        <f>IFERROR(
  _xlfn.XLOOKUP(A29,Raw_VN30_Influence!$B$2:$B$30,Raw_VN30_Influence!$G$2:$G$30)
  /SUM(Raw_VN30_Influence!$G$2:$G$31),"")</f>
        <v>4.7135612762965927E-2</v>
      </c>
      <c r="K29">
        <f>IF(COUNTIF(Settings!$A:$A,A29)&gt;0,1,0)</f>
        <v>1</v>
      </c>
      <c r="L29">
        <f t="shared" si="7"/>
        <v>1</v>
      </c>
      <c r="M29" s="9">
        <f t="shared" si="0"/>
        <v>0.28571428571428498</v>
      </c>
      <c r="N29">
        <f t="shared" si="1"/>
        <v>0</v>
      </c>
      <c r="O29">
        <f t="shared" si="2"/>
        <v>0</v>
      </c>
      <c r="P29">
        <f t="shared" si="3"/>
        <v>1</v>
      </c>
      <c r="Q29">
        <f t="shared" si="4"/>
        <v>0</v>
      </c>
      <c r="R29">
        <f t="shared" si="5"/>
        <v>0</v>
      </c>
      <c r="S29">
        <f t="shared" si="6"/>
        <v>0</v>
      </c>
      <c r="T29" s="8">
        <f>(IF(J29&lt;&gt;"",J29,IF(Raw_VN30_Statistic!R29="",0,Raw_VN30_Statistic!R29/SUM(Raw_VN30_Statistic!$R$2:$R$31))))*G29</f>
        <v>8.0130541697042076E-3</v>
      </c>
      <c r="U29" s="8">
        <f>(IF(J29&lt;&gt;"",J29,IF(Raw_VN30_Statistic!R29="",0,Raw_VN30_Statistic!R29/SUM(Raw_VN30_Statistic!$R$2:$R$31))))*M29</f>
        <v>1.3467317932275945E-2</v>
      </c>
      <c r="V29">
        <f>IFERROR(_xlfn.XLOOKUP(A29,[1]Raw_VN30_Influence!$B$2:$B$31,[1]Raw_VN30_Influence!$I$2:$I$31),"")</f>
        <v>-0.50390000000000001</v>
      </c>
      <c r="W29">
        <f>IFERROR(_xlfn.XLOOKUP(A29,[1]Raw_VN30_Influence!$B$2:$B$31,[1]Raw_VN30_Influence!$H$2:$H$31),"")</f>
        <v>-2.46E-2</v>
      </c>
      <c r="X29">
        <f>IFERROR(_xlfn.XLOOKUP(A29,[1]Raw_VN30_Influence!$B$2:$B$31,[1]Raw_VN30_Influence!$G$2:$G$31),"")</f>
        <v>4.7248999999999999</v>
      </c>
    </row>
    <row r="30" spans="1:24" x14ac:dyDescent="0.45">
      <c r="A30" t="str">
        <f>Raw_VN30_Statistic!C30</f>
        <v>VPL</v>
      </c>
      <c r="B30">
        <f>Raw_VN30_Statistic!D30</f>
        <v>81.7</v>
      </c>
      <c r="C30">
        <f>Raw_VN30_Statistic!F30</f>
        <v>83.5</v>
      </c>
      <c r="D30">
        <f>Raw_VN30_Statistic!G30</f>
        <v>84.1</v>
      </c>
      <c r="E30">
        <f>Raw_VN30_Statistic!H30</f>
        <v>80.5</v>
      </c>
      <c r="F30">
        <f>IF(ISNUMBER(Raw_VN30_Statistic!J30),Raw_VN30_Statistic!J30,(C30-B30))</f>
        <v>1800</v>
      </c>
      <c r="G30">
        <f>IF(ISNUMBER(Raw_VN30_Statistic!K30),Raw_VN30_Statistic!K30,IF(B30=0,0,F30/B30*100))</f>
        <v>2.2000000000000002</v>
      </c>
      <c r="H30">
        <f>Raw_VN30_Statistic!P30</f>
        <v>223600</v>
      </c>
      <c r="I30">
        <f>IF(Raw_VN30_Statistic!Q30="",0,Raw_VN30_Statistic!Q30/1000)</f>
        <v>18.504000000000001</v>
      </c>
      <c r="J30">
        <f>IFERROR(
  _xlfn.XLOOKUP(A30,Raw_VN30_Influence!$B$2:$B$30,Raw_VN30_Influence!$G$2:$G$30)
  /SUM(Raw_VN30_Influence!$G$2:$G$31),"")</f>
        <v>6.4070832920827998E-3</v>
      </c>
      <c r="K30">
        <f>IF(COUNTIF(Settings!$A:$A,A30)&gt;0,1,0)</f>
        <v>0</v>
      </c>
      <c r="L30">
        <f t="shared" si="7"/>
        <v>0</v>
      </c>
      <c r="M30" s="9">
        <f t="shared" si="0"/>
        <v>0.8333333333333347</v>
      </c>
      <c r="N30">
        <f t="shared" si="1"/>
        <v>1</v>
      </c>
      <c r="O30">
        <f t="shared" si="2"/>
        <v>0</v>
      </c>
      <c r="P30">
        <f t="shared" si="3"/>
        <v>1</v>
      </c>
      <c r="Q30">
        <f t="shared" si="4"/>
        <v>0</v>
      </c>
      <c r="R30">
        <f t="shared" si="5"/>
        <v>1</v>
      </c>
      <c r="S30">
        <f t="shared" si="6"/>
        <v>0</v>
      </c>
      <c r="T30" s="8">
        <f>(IF(J30&lt;&gt;"",J30,IF(Raw_VN30_Statistic!R30="",0,Raw_VN30_Statistic!R30/SUM(Raw_VN30_Statistic!$R$2:$R$31))))*G30</f>
        <v>1.4095583242582161E-2</v>
      </c>
      <c r="U30" s="8">
        <f>(IF(J30&lt;&gt;"",J30,IF(Raw_VN30_Statistic!R30="",0,Raw_VN30_Statistic!R30/SUM(Raw_VN30_Statistic!$R$2:$R$31))))*M30</f>
        <v>5.3392360767356749E-3</v>
      </c>
      <c r="V30">
        <f>IFERROR(_xlfn.XLOOKUP(A30,[1]Raw_VN30_Influence!$B$2:$B$31,[1]Raw_VN30_Influence!$I$2:$I$31),"")</f>
        <v>-0.38340000000000002</v>
      </c>
      <c r="W30">
        <f>IFERROR(_xlfn.XLOOKUP(A30,[1]Raw_VN30_Influence!$B$2:$B$31,[1]Raw_VN30_Influence!$H$2:$H$31),"")</f>
        <v>-1.8700000000000001E-2</v>
      </c>
      <c r="X30">
        <f>IFERROR(_xlfn.XLOOKUP(A30,[1]Raw_VN30_Influence!$B$2:$B$31,[1]Raw_VN30_Influence!$G$2:$G$31),"")</f>
        <v>0.62519999999999998</v>
      </c>
    </row>
    <row r="31" spans="1:24" x14ac:dyDescent="0.45">
      <c r="A31" t="str">
        <f>Raw_VN30_Statistic!C31</f>
        <v>VRE</v>
      </c>
      <c r="B31">
        <f>Raw_VN30_Statistic!D31</f>
        <v>29.75</v>
      </c>
      <c r="C31">
        <f>Raw_VN30_Statistic!F31</f>
        <v>29.05</v>
      </c>
      <c r="D31">
        <f>Raw_VN30_Statistic!G31</f>
        <v>29.8</v>
      </c>
      <c r="E31">
        <f>Raw_VN30_Statistic!H31</f>
        <v>29.05</v>
      </c>
      <c r="F31">
        <f>IF(ISNUMBER(Raw_VN30_Statistic!J31),Raw_VN30_Statistic!J31,(C31-B31))</f>
        <v>-700</v>
      </c>
      <c r="G31">
        <f>IF(ISNUMBER(Raw_VN30_Statistic!K31),Raw_VN30_Statistic!K31,IF(B31=0,0,F31/B31*100))</f>
        <v>-2.35</v>
      </c>
      <c r="H31">
        <f>Raw_VN30_Statistic!P31</f>
        <v>3120400</v>
      </c>
      <c r="I31">
        <f>IF(Raw_VN30_Statistic!Q31="",0,Raw_VN30_Statistic!Q31/1000)</f>
        <v>91.251999999999995</v>
      </c>
      <c r="J31">
        <f>IFERROR(
  _xlfn.XLOOKUP(A31,Raw_VN30_Influence!$B$2:$B$30,Raw_VN30_Influence!$G$2:$G$30)
  /SUM(Raw_VN30_Influence!$G$2:$G$31),"")</f>
        <v>1.9953259392372108E-2</v>
      </c>
      <c r="K31">
        <f>IF(COUNTIF(Settings!$A:$A,A31)&gt;0,1,0)</f>
        <v>0</v>
      </c>
      <c r="L31">
        <f t="shared" si="7"/>
        <v>0</v>
      </c>
      <c r="M31" s="9">
        <f t="shared" si="0"/>
        <v>0</v>
      </c>
      <c r="N31">
        <f t="shared" si="1"/>
        <v>0</v>
      </c>
      <c r="O31">
        <f t="shared" si="2"/>
        <v>1</v>
      </c>
      <c r="P31">
        <f t="shared" si="3"/>
        <v>0</v>
      </c>
      <c r="Q31">
        <f t="shared" si="4"/>
        <v>1</v>
      </c>
      <c r="R31">
        <f t="shared" si="5"/>
        <v>0</v>
      </c>
      <c r="S31">
        <f t="shared" si="6"/>
        <v>1</v>
      </c>
      <c r="T31" s="8">
        <f>(IF(J31&lt;&gt;"",J31,IF(Raw_VN30_Statistic!R31="",0,Raw_VN30_Statistic!R31/SUM(Raw_VN30_Statistic!$R$2:$R$31))))*G31</f>
        <v>-4.6890159572074458E-2</v>
      </c>
      <c r="U31" s="8">
        <f>(IF(J31&lt;&gt;"",J31,IF(Raw_VN30_Statistic!R31="",0,Raw_VN30_Statistic!R31/SUM(Raw_VN30_Statistic!$R$2:$R$31))))*M31</f>
        <v>0</v>
      </c>
      <c r="V31">
        <f>IFERROR(_xlfn.XLOOKUP(A31,[1]Raw_VN30_Influence!$B$2:$B$31,[1]Raw_VN30_Influence!$I$2:$I$31),"")</f>
        <v>-1.3026</v>
      </c>
      <c r="W31">
        <f>IFERROR(_xlfn.XLOOKUP(A31,[1]Raw_VN30_Influence!$B$2:$B$31,[1]Raw_VN30_Influence!$H$2:$H$31),"")</f>
        <v>-6.3500000000000001E-2</v>
      </c>
      <c r="X31">
        <f>IFERROR(_xlfn.XLOOKUP(A31,[1]Raw_VN30_Influence!$B$2:$B$31,[1]Raw_VN30_Influence!$G$2:$G$31),"")</f>
        <v>1.9724999999999999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selection activeCell="E5" sqref="E5"/>
    </sheetView>
  </sheetViews>
  <sheetFormatPr defaultRowHeight="14.25" x14ac:dyDescent="0.45"/>
  <cols>
    <col min="1" max="1" width="25.9296875" customWidth="1"/>
    <col min="2" max="2" width="26" customWidth="1"/>
    <col min="3" max="3" width="34.06640625" customWidth="1"/>
    <col min="5" max="5" width="81.1328125" customWidth="1"/>
  </cols>
  <sheetData>
    <row r="1" spans="1:5" x14ac:dyDescent="0.45">
      <c r="A1" s="4" t="s">
        <v>46</v>
      </c>
      <c r="C1" s="4"/>
      <c r="E1" s="4" t="s">
        <v>47</v>
      </c>
    </row>
    <row r="2" spans="1:5" x14ac:dyDescent="0.45">
      <c r="A2" t="s">
        <v>48</v>
      </c>
      <c r="E2" t="s">
        <v>50</v>
      </c>
    </row>
    <row r="3" spans="1:5" x14ac:dyDescent="0.45">
      <c r="A3" t="s">
        <v>51</v>
      </c>
      <c r="E3" t="s">
        <v>53</v>
      </c>
    </row>
    <row r="4" spans="1:5" ht="57" x14ac:dyDescent="0.45">
      <c r="A4" t="s">
        <v>54</v>
      </c>
      <c r="E4" s="33" t="s">
        <v>187</v>
      </c>
    </row>
    <row r="5" spans="1:5" ht="71.25" x14ac:dyDescent="0.45">
      <c r="A5" t="s">
        <v>56</v>
      </c>
      <c r="E5" s="33" t="s">
        <v>207</v>
      </c>
    </row>
    <row r="6" spans="1:5" x14ac:dyDescent="0.45">
      <c r="A6" t="s">
        <v>57</v>
      </c>
    </row>
    <row r="7" spans="1:5" x14ac:dyDescent="0.45">
      <c r="A7" t="s">
        <v>59</v>
      </c>
    </row>
    <row r="8" spans="1:5" x14ac:dyDescent="0.45">
      <c r="A8" t="s">
        <v>61</v>
      </c>
    </row>
    <row r="9" spans="1:5" x14ac:dyDescent="0.45">
      <c r="A9" t="s">
        <v>62</v>
      </c>
    </row>
    <row r="10" spans="1:5" x14ac:dyDescent="0.45">
      <c r="A10" t="s">
        <v>64</v>
      </c>
    </row>
    <row r="11" spans="1:5" x14ac:dyDescent="0.45">
      <c r="A11" t="s">
        <v>66</v>
      </c>
    </row>
    <row r="12" spans="1:5" x14ac:dyDescent="0.45">
      <c r="A12" t="s">
        <v>68</v>
      </c>
    </row>
    <row r="13" spans="1:5" x14ac:dyDescent="0.45">
      <c r="A13" t="s">
        <v>55</v>
      </c>
    </row>
    <row r="14" spans="1:5" x14ac:dyDescent="0.45">
      <c r="A14" t="s">
        <v>63</v>
      </c>
    </row>
    <row r="15" spans="1:5" x14ac:dyDescent="0.45">
      <c r="A15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Raw_VN30_Statistic</vt:lpstr>
      <vt:lpstr>Raw_VN30_Influence</vt:lpstr>
      <vt:lpstr>Dashboard</vt:lpstr>
      <vt:lpstr>Raw_OI</vt:lpstr>
      <vt:lpstr>History_Log</vt:lpstr>
      <vt:lpstr>AutoScore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Le</dc:creator>
  <cp:lastModifiedBy>Dang Le</cp:lastModifiedBy>
  <dcterms:created xsi:type="dcterms:W3CDTF">2026-02-12T17:07:06Z</dcterms:created>
  <dcterms:modified xsi:type="dcterms:W3CDTF">2026-03-01T06:46:57Z</dcterms:modified>
</cp:coreProperties>
</file>